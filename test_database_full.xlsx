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u_list" sheetId="1" r:id="rId4"/>
    <sheet state="visible" name="store" sheetId="2" r:id="rId5"/>
    <sheet state="visible" name="orders" sheetId="3" r:id="rId6"/>
    <sheet state="visible" name="inventory" sheetId="4" r:id="rId7"/>
    <sheet state="visible" name="promotions" sheetId="5" r:id="rId8"/>
    <sheet state="visible" name="discounts" sheetId="6" r:id="rId9"/>
  </sheets>
  <definedNames/>
  <calcPr/>
</workbook>
</file>

<file path=xl/sharedStrings.xml><?xml version="1.0" encoding="utf-8"?>
<sst xmlns="http://schemas.openxmlformats.org/spreadsheetml/2006/main" count="1412" uniqueCount="608">
  <si>
    <t>sku_id</t>
  </si>
  <si>
    <t>sku_name</t>
  </si>
  <si>
    <t>params</t>
  </si>
  <si>
    <t>log_unit</t>
  </si>
  <si>
    <t>integrity_id</t>
  </si>
  <si>
    <t>SKU_1</t>
  </si>
  <si>
    <t>Product_1</t>
  </si>
  <si>
    <t>Bottle 1l</t>
  </si>
  <si>
    <t>pack</t>
  </si>
  <si>
    <t>CAT_6</t>
  </si>
  <si>
    <t>SKU_2</t>
  </si>
  <si>
    <t>Product_2</t>
  </si>
  <si>
    <t>Can 330ml</t>
  </si>
  <si>
    <t>pcs</t>
  </si>
  <si>
    <t>CAT_5</t>
  </si>
  <si>
    <t>SKU_3</t>
  </si>
  <si>
    <t>Product_3</t>
  </si>
  <si>
    <t>Box 6 pack</t>
  </si>
  <si>
    <t>CAT_1</t>
  </si>
  <si>
    <t>SKU_4</t>
  </si>
  <si>
    <t>Product_4</t>
  </si>
  <si>
    <t>CAT_9</t>
  </si>
  <si>
    <t>SKU_5</t>
  </si>
  <si>
    <t>Product_5</t>
  </si>
  <si>
    <t>Glass 0.5l</t>
  </si>
  <si>
    <t>box</t>
  </si>
  <si>
    <t>SKU_6</t>
  </si>
  <si>
    <t>Product_6</t>
  </si>
  <si>
    <t>Jar 720ml</t>
  </si>
  <si>
    <t>SKU_7</t>
  </si>
  <si>
    <t>Product_7</t>
  </si>
  <si>
    <t>SKU_8</t>
  </si>
  <si>
    <t>Product_8</t>
  </si>
  <si>
    <t>CAT_4</t>
  </si>
  <si>
    <t>SKU_9</t>
  </si>
  <si>
    <t>Product_9</t>
  </si>
  <si>
    <t>CAT_2</t>
  </si>
  <si>
    <t>SKU_10</t>
  </si>
  <si>
    <t>Product_10</t>
  </si>
  <si>
    <t>CAT_8</t>
  </si>
  <si>
    <t>SKU_11</t>
  </si>
  <si>
    <t>Product_11</t>
  </si>
  <si>
    <t>CAT_10</t>
  </si>
  <si>
    <t>SKU_12</t>
  </si>
  <si>
    <t>Product_12</t>
  </si>
  <si>
    <t>SKU_13</t>
  </si>
  <si>
    <t>Product_13</t>
  </si>
  <si>
    <t>CAT_7</t>
  </si>
  <si>
    <t>SKU_14</t>
  </si>
  <si>
    <t>Product_14</t>
  </si>
  <si>
    <t>SKU_15</t>
  </si>
  <si>
    <t>Product_15</t>
  </si>
  <si>
    <t>SKU_16</t>
  </si>
  <si>
    <t>Product_16</t>
  </si>
  <si>
    <t>SKU_17</t>
  </si>
  <si>
    <t>Product_17</t>
  </si>
  <si>
    <t>SKU_18</t>
  </si>
  <si>
    <t>Product_18</t>
  </si>
  <si>
    <t>SKU_19</t>
  </si>
  <si>
    <t>Product_19</t>
  </si>
  <si>
    <t>SKU_20</t>
  </si>
  <si>
    <t>Product_20</t>
  </si>
  <si>
    <t>SKU_21</t>
  </si>
  <si>
    <t>Product_21</t>
  </si>
  <si>
    <t>SKU_22</t>
  </si>
  <si>
    <t>Product_22</t>
  </si>
  <si>
    <t>SKU_23</t>
  </si>
  <si>
    <t>Product_23</t>
  </si>
  <si>
    <t>SKU_24</t>
  </si>
  <si>
    <t>Product_24</t>
  </si>
  <si>
    <t>SKU_25</t>
  </si>
  <si>
    <t>Product_25</t>
  </si>
  <si>
    <t>SKU_26</t>
  </si>
  <si>
    <t>Product_26</t>
  </si>
  <si>
    <t>SKU_27</t>
  </si>
  <si>
    <t>Product_27</t>
  </si>
  <si>
    <t>SKU_28</t>
  </si>
  <si>
    <t>Product_28</t>
  </si>
  <si>
    <t>SKU_29</t>
  </si>
  <si>
    <t>Product_29</t>
  </si>
  <si>
    <t>CAT_3</t>
  </si>
  <si>
    <t>SKU_30</t>
  </si>
  <si>
    <t>Product_30</t>
  </si>
  <si>
    <t>SKU_31</t>
  </si>
  <si>
    <t>Product_31</t>
  </si>
  <si>
    <t>SKU_32</t>
  </si>
  <si>
    <t>Product_32</t>
  </si>
  <si>
    <t>SKU_33</t>
  </si>
  <si>
    <t>Product_33</t>
  </si>
  <si>
    <t>SKU_34</t>
  </si>
  <si>
    <t>Product_34</t>
  </si>
  <si>
    <t>SKU_35</t>
  </si>
  <si>
    <t>Product_35</t>
  </si>
  <si>
    <t>SKU_36</t>
  </si>
  <si>
    <t>Product_36</t>
  </si>
  <si>
    <t>SKU_37</t>
  </si>
  <si>
    <t>Product_37</t>
  </si>
  <si>
    <t>SKU_38</t>
  </si>
  <si>
    <t>Product_38</t>
  </si>
  <si>
    <t>SKU_39</t>
  </si>
  <si>
    <t>Product_39</t>
  </si>
  <si>
    <t>SKU_40</t>
  </si>
  <si>
    <t>Product_40</t>
  </si>
  <si>
    <t>SKU_41</t>
  </si>
  <si>
    <t>Product_41</t>
  </si>
  <si>
    <t>SKU_42</t>
  </si>
  <si>
    <t>Product_42</t>
  </si>
  <si>
    <t>SKU_43</t>
  </si>
  <si>
    <t>Product_43</t>
  </si>
  <si>
    <t>SKU_44</t>
  </si>
  <si>
    <t>Product_44</t>
  </si>
  <si>
    <t>SKU_45</t>
  </si>
  <si>
    <t>Product_45</t>
  </si>
  <si>
    <t>SKU_46</t>
  </si>
  <si>
    <t>Product_46</t>
  </si>
  <si>
    <t>SKU_47</t>
  </si>
  <si>
    <t>Product_47</t>
  </si>
  <si>
    <t>SKU_48</t>
  </si>
  <si>
    <t>Product_48</t>
  </si>
  <si>
    <t>SKU_49</t>
  </si>
  <si>
    <t>Product_49</t>
  </si>
  <si>
    <t>SKU_50</t>
  </si>
  <si>
    <t>Product_50</t>
  </si>
  <si>
    <t>SKU_51</t>
  </si>
  <si>
    <t>Product_51</t>
  </si>
  <si>
    <t>SKU_52</t>
  </si>
  <si>
    <t>Product_52</t>
  </si>
  <si>
    <t>SKU_53</t>
  </si>
  <si>
    <t>Product_53</t>
  </si>
  <si>
    <t>SKU_54</t>
  </si>
  <si>
    <t>Product_54</t>
  </si>
  <si>
    <t>SKU_55</t>
  </si>
  <si>
    <t>Product_55</t>
  </si>
  <si>
    <t>SKU_56</t>
  </si>
  <si>
    <t>Product_56</t>
  </si>
  <si>
    <t>SKU_57</t>
  </si>
  <si>
    <t>Product_57</t>
  </si>
  <si>
    <t>SKU_58</t>
  </si>
  <si>
    <t>Product_58</t>
  </si>
  <si>
    <t>SKU_59</t>
  </si>
  <si>
    <t>Product_59</t>
  </si>
  <si>
    <t>SKU_60</t>
  </si>
  <si>
    <t>Product_60</t>
  </si>
  <si>
    <t>SKU_61</t>
  </si>
  <si>
    <t>Product_61</t>
  </si>
  <si>
    <t>SKU_62</t>
  </si>
  <si>
    <t>Product_62</t>
  </si>
  <si>
    <t>SKU_63</t>
  </si>
  <si>
    <t>Product_63</t>
  </si>
  <si>
    <t>SKU_64</t>
  </si>
  <si>
    <t>Product_64</t>
  </si>
  <si>
    <t>SKU_65</t>
  </si>
  <si>
    <t>Product_65</t>
  </si>
  <si>
    <t>SKU_66</t>
  </si>
  <si>
    <t>Product_66</t>
  </si>
  <si>
    <t>SKU_67</t>
  </si>
  <si>
    <t>Product_67</t>
  </si>
  <si>
    <t>SKU_68</t>
  </si>
  <si>
    <t>Product_68</t>
  </si>
  <si>
    <t>SKU_69</t>
  </si>
  <si>
    <t>Product_69</t>
  </si>
  <si>
    <t>SKU_70</t>
  </si>
  <si>
    <t>Product_70</t>
  </si>
  <si>
    <t>SKU_71</t>
  </si>
  <si>
    <t>Product_71</t>
  </si>
  <si>
    <t>SKU_72</t>
  </si>
  <si>
    <t>Product_72</t>
  </si>
  <si>
    <t>SKU_73</t>
  </si>
  <si>
    <t>Product_73</t>
  </si>
  <si>
    <t>SKU_74</t>
  </si>
  <si>
    <t>Product_74</t>
  </si>
  <si>
    <t>SKU_75</t>
  </si>
  <si>
    <t>Product_75</t>
  </si>
  <si>
    <t>SKU_76</t>
  </si>
  <si>
    <t>Product_76</t>
  </si>
  <si>
    <t>SKU_77</t>
  </si>
  <si>
    <t>Product_77</t>
  </si>
  <si>
    <t>SKU_78</t>
  </si>
  <si>
    <t>Product_78</t>
  </si>
  <si>
    <t>SKU_79</t>
  </si>
  <si>
    <t>Product_79</t>
  </si>
  <si>
    <t>SKU_80</t>
  </si>
  <si>
    <t>Product_80</t>
  </si>
  <si>
    <t>SKU_81</t>
  </si>
  <si>
    <t>Product_81</t>
  </si>
  <si>
    <t>SKU_82</t>
  </si>
  <si>
    <t>Product_82</t>
  </si>
  <si>
    <t>SKU_83</t>
  </si>
  <si>
    <t>Product_83</t>
  </si>
  <si>
    <t>SKU_84</t>
  </si>
  <si>
    <t>Product_84</t>
  </si>
  <si>
    <t>SKU_85</t>
  </si>
  <si>
    <t>Product_85</t>
  </si>
  <si>
    <t>SKU_86</t>
  </si>
  <si>
    <t>Product_86</t>
  </si>
  <si>
    <t>SKU_87</t>
  </si>
  <si>
    <t>Product_87</t>
  </si>
  <si>
    <t>SKU_88</t>
  </si>
  <si>
    <t>Product_88</t>
  </si>
  <si>
    <t>SKU_89</t>
  </si>
  <si>
    <t>Product_89</t>
  </si>
  <si>
    <t>SKU_90</t>
  </si>
  <si>
    <t>Product_90</t>
  </si>
  <si>
    <t>SKU_91</t>
  </si>
  <si>
    <t>Product_91</t>
  </si>
  <si>
    <t>SKU_92</t>
  </si>
  <si>
    <t>Product_92</t>
  </si>
  <si>
    <t>SKU_93</t>
  </si>
  <si>
    <t>Product_93</t>
  </si>
  <si>
    <t>SKU_94</t>
  </si>
  <si>
    <t>Product_94</t>
  </si>
  <si>
    <t>SKU_95</t>
  </si>
  <si>
    <t>Product_95</t>
  </si>
  <si>
    <t>SKU_96</t>
  </si>
  <si>
    <t>Product_96</t>
  </si>
  <si>
    <t>SKU_97</t>
  </si>
  <si>
    <t>Product_97</t>
  </si>
  <si>
    <t>SKU_98</t>
  </si>
  <si>
    <t>Product_98</t>
  </si>
  <si>
    <t>SKU_99</t>
  </si>
  <si>
    <t>Product_99</t>
  </si>
  <si>
    <t>SKU_100</t>
  </si>
  <si>
    <t>Product_100</t>
  </si>
  <si>
    <t>store_id</t>
  </si>
  <si>
    <t>store_name</t>
  </si>
  <si>
    <t>region</t>
  </si>
  <si>
    <t>manager_name</t>
  </si>
  <si>
    <t>manager_phone</t>
  </si>
  <si>
    <t>manager_email</t>
  </si>
  <si>
    <t>Store_1</t>
  </si>
  <si>
    <t>North</t>
  </si>
  <si>
    <t>Manager_1</t>
  </si>
  <si>
    <t>manager1@store.com</t>
  </si>
  <si>
    <t>Store_2</t>
  </si>
  <si>
    <t>East</t>
  </si>
  <si>
    <t>Manager_2</t>
  </si>
  <si>
    <t>manager2@store.com</t>
  </si>
  <si>
    <t>Store_3</t>
  </si>
  <si>
    <t>Manager_3</t>
  </si>
  <si>
    <t>manager3@store.com</t>
  </si>
  <si>
    <t>Store_4</t>
  </si>
  <si>
    <t>Manager_4</t>
  </si>
  <si>
    <t>manager4@store.com</t>
  </si>
  <si>
    <t>Store_5</t>
  </si>
  <si>
    <t>South</t>
  </si>
  <si>
    <t>Manager_5</t>
  </si>
  <si>
    <t>manager5@store.com</t>
  </si>
  <si>
    <t>Store_6</t>
  </si>
  <si>
    <t>Center</t>
  </si>
  <si>
    <t>Manager_6</t>
  </si>
  <si>
    <t>manager6@store.com</t>
  </si>
  <si>
    <t>Store_7</t>
  </si>
  <si>
    <t>Manager_7</t>
  </si>
  <si>
    <t>manager7@store.com</t>
  </si>
  <si>
    <t>Store_8</t>
  </si>
  <si>
    <t>Manager_8</t>
  </si>
  <si>
    <t>manager8@store.com</t>
  </si>
  <si>
    <t>Store_9</t>
  </si>
  <si>
    <t>Manager_9</t>
  </si>
  <si>
    <t>manager9@store.com</t>
  </si>
  <si>
    <t>Store_10</t>
  </si>
  <si>
    <t>Manager_10</t>
  </si>
  <si>
    <t>manager10@store.com</t>
  </si>
  <si>
    <t>Store_11</t>
  </si>
  <si>
    <t>Manager_11</t>
  </si>
  <si>
    <t>manager11@store.com</t>
  </si>
  <si>
    <t>Store_12</t>
  </si>
  <si>
    <t>West</t>
  </si>
  <si>
    <t>Manager_12</t>
  </si>
  <si>
    <t>manager12@store.com</t>
  </si>
  <si>
    <t>Store_13</t>
  </si>
  <si>
    <t>Manager_13</t>
  </si>
  <si>
    <t>manager13@store.com</t>
  </si>
  <si>
    <t>Store_14</t>
  </si>
  <si>
    <t>Manager_14</t>
  </si>
  <si>
    <t>manager14@store.com</t>
  </si>
  <si>
    <t>Store_15</t>
  </si>
  <si>
    <t>Manager_15</t>
  </si>
  <si>
    <t>manager15@store.com</t>
  </si>
  <si>
    <t>Store_16</t>
  </si>
  <si>
    <t>Manager_16</t>
  </si>
  <si>
    <t>manager16@store.com</t>
  </si>
  <si>
    <t>Store_17</t>
  </si>
  <si>
    <t>Manager_17</t>
  </si>
  <si>
    <t>manager17@store.com</t>
  </si>
  <si>
    <t>Store_18</t>
  </si>
  <si>
    <t>Manager_18</t>
  </si>
  <si>
    <t>manager18@store.com</t>
  </si>
  <si>
    <t>Store_19</t>
  </si>
  <si>
    <t>Manager_19</t>
  </si>
  <si>
    <t>manager19@store.com</t>
  </si>
  <si>
    <t>Store_20</t>
  </si>
  <si>
    <t>Manager_20</t>
  </si>
  <si>
    <t>manager20@store.com</t>
  </si>
  <si>
    <t>order_id</t>
  </si>
  <si>
    <t>sales_date</t>
  </si>
  <si>
    <t>sales_count</t>
  </si>
  <si>
    <t>ORD_1</t>
  </si>
  <si>
    <t>ORD_2</t>
  </si>
  <si>
    <t>ORD_3</t>
  </si>
  <si>
    <t>ORD_4</t>
  </si>
  <si>
    <t>ORD_5</t>
  </si>
  <si>
    <t>ORD_6</t>
  </si>
  <si>
    <t>ORD_7</t>
  </si>
  <si>
    <t>ORD_8</t>
  </si>
  <si>
    <t>ORD_9</t>
  </si>
  <si>
    <t>ORD_10</t>
  </si>
  <si>
    <t>ORD_11</t>
  </si>
  <si>
    <t>ORD_12</t>
  </si>
  <si>
    <t>ORD_13</t>
  </si>
  <si>
    <t>ORD_14</t>
  </si>
  <si>
    <t>ORD_15</t>
  </si>
  <si>
    <t>ORD_16</t>
  </si>
  <si>
    <t>ORD_17</t>
  </si>
  <si>
    <t>ORD_18</t>
  </si>
  <si>
    <t>ORD_19</t>
  </si>
  <si>
    <t>ORD_20</t>
  </si>
  <si>
    <t>ORD_21</t>
  </si>
  <si>
    <t>ORD_22</t>
  </si>
  <si>
    <t>ORD_23</t>
  </si>
  <si>
    <t>ORD_24</t>
  </si>
  <si>
    <t>ORD_25</t>
  </si>
  <si>
    <t>ORD_26</t>
  </si>
  <si>
    <t>ORD_27</t>
  </si>
  <si>
    <t>ORD_28</t>
  </si>
  <si>
    <t>ORD_29</t>
  </si>
  <si>
    <t>ORD_30</t>
  </si>
  <si>
    <t>ORD_31</t>
  </si>
  <si>
    <t>ORD_32</t>
  </si>
  <si>
    <t>ORD_33</t>
  </si>
  <si>
    <t>ORD_34</t>
  </si>
  <si>
    <t>ORD_35</t>
  </si>
  <si>
    <t>ORD_36</t>
  </si>
  <si>
    <t>ORD_37</t>
  </si>
  <si>
    <t>ORD_38</t>
  </si>
  <si>
    <t>ORD_39</t>
  </si>
  <si>
    <t>ORD_40</t>
  </si>
  <si>
    <t>ORD_41</t>
  </si>
  <si>
    <t>ORD_42</t>
  </si>
  <si>
    <t>ORD_43</t>
  </si>
  <si>
    <t>ORD_44</t>
  </si>
  <si>
    <t>ORD_45</t>
  </si>
  <si>
    <t>ORD_46</t>
  </si>
  <si>
    <t>ORD_47</t>
  </si>
  <si>
    <t>ORD_48</t>
  </si>
  <si>
    <t>ORD_49</t>
  </si>
  <si>
    <t>ORD_50</t>
  </si>
  <si>
    <t>ORD_51</t>
  </si>
  <si>
    <t>ORD_52</t>
  </si>
  <si>
    <t>ORD_53</t>
  </si>
  <si>
    <t>ORD_54</t>
  </si>
  <si>
    <t>ORD_55</t>
  </si>
  <si>
    <t>ORD_56</t>
  </si>
  <si>
    <t>ORD_57</t>
  </si>
  <si>
    <t>ORD_58</t>
  </si>
  <si>
    <t>ORD_59</t>
  </si>
  <si>
    <t>ORD_60</t>
  </si>
  <si>
    <t>ORD_61</t>
  </si>
  <si>
    <t>ORD_62</t>
  </si>
  <si>
    <t>ORD_63</t>
  </si>
  <si>
    <t>ORD_64</t>
  </si>
  <si>
    <t>ORD_65</t>
  </si>
  <si>
    <t>ORD_66</t>
  </si>
  <si>
    <t>ORD_67</t>
  </si>
  <si>
    <t>ORD_68</t>
  </si>
  <si>
    <t>ORD_69</t>
  </si>
  <si>
    <t>ORD_70</t>
  </si>
  <si>
    <t>ORD_71</t>
  </si>
  <si>
    <t>ORD_72</t>
  </si>
  <si>
    <t>ORD_73</t>
  </si>
  <si>
    <t>ORD_74</t>
  </si>
  <si>
    <t>ORD_75</t>
  </si>
  <si>
    <t>ORD_76</t>
  </si>
  <si>
    <t>ORD_77</t>
  </si>
  <si>
    <t>ORD_78</t>
  </si>
  <si>
    <t>ORD_79</t>
  </si>
  <si>
    <t>ORD_80</t>
  </si>
  <si>
    <t>ORD_81</t>
  </si>
  <si>
    <t>ORD_82</t>
  </si>
  <si>
    <t>ORD_83</t>
  </si>
  <si>
    <t>ORD_84</t>
  </si>
  <si>
    <t>ORD_85</t>
  </si>
  <si>
    <t>ORD_86</t>
  </si>
  <si>
    <t>ORD_87</t>
  </si>
  <si>
    <t>ORD_88</t>
  </si>
  <si>
    <t>ORD_89</t>
  </si>
  <si>
    <t>ORD_90</t>
  </si>
  <si>
    <t>ORD_91</t>
  </si>
  <si>
    <t>ORD_92</t>
  </si>
  <si>
    <t>ORD_93</t>
  </si>
  <si>
    <t>ORD_94</t>
  </si>
  <si>
    <t>ORD_95</t>
  </si>
  <si>
    <t>ORD_96</t>
  </si>
  <si>
    <t>ORD_97</t>
  </si>
  <si>
    <t>ORD_98</t>
  </si>
  <si>
    <t>ORD_99</t>
  </si>
  <si>
    <t>ORD_100</t>
  </si>
  <si>
    <t>quantity</t>
  </si>
  <si>
    <t>last_updated</t>
  </si>
  <si>
    <t>promo_id</t>
  </si>
  <si>
    <t>start_date</t>
  </si>
  <si>
    <t>end_date</t>
  </si>
  <si>
    <t>promo_type</t>
  </si>
  <si>
    <t>PR_1</t>
  </si>
  <si>
    <t>bundle</t>
  </si>
  <si>
    <t>PR_2</t>
  </si>
  <si>
    <t>discount</t>
  </si>
  <si>
    <t>PR_3</t>
  </si>
  <si>
    <t>PR_4</t>
  </si>
  <si>
    <t>PR_5</t>
  </si>
  <si>
    <t>PR_6</t>
  </si>
  <si>
    <t>PR_7</t>
  </si>
  <si>
    <t>PR_8</t>
  </si>
  <si>
    <t>gift</t>
  </si>
  <si>
    <t>PR_9</t>
  </si>
  <si>
    <t>PR_10</t>
  </si>
  <si>
    <t>PR_11</t>
  </si>
  <si>
    <t>PR_12</t>
  </si>
  <si>
    <t>PR_13</t>
  </si>
  <si>
    <t>PR_14</t>
  </si>
  <si>
    <t>PR_15</t>
  </si>
  <si>
    <t>PR_16</t>
  </si>
  <si>
    <t>PR_17</t>
  </si>
  <si>
    <t>PR_18</t>
  </si>
  <si>
    <t>PR_19</t>
  </si>
  <si>
    <t>PR_20</t>
  </si>
  <si>
    <t>PR_21</t>
  </si>
  <si>
    <t>PR_22</t>
  </si>
  <si>
    <t>PR_23</t>
  </si>
  <si>
    <t>PR_24</t>
  </si>
  <si>
    <t>PR_25</t>
  </si>
  <si>
    <t>PR_26</t>
  </si>
  <si>
    <t>PR_27</t>
  </si>
  <si>
    <t>PR_28</t>
  </si>
  <si>
    <t>PR_29</t>
  </si>
  <si>
    <t>PR_30</t>
  </si>
  <si>
    <t>PR_31</t>
  </si>
  <si>
    <t>PR_32</t>
  </si>
  <si>
    <t>PR_33</t>
  </si>
  <si>
    <t>PR_34</t>
  </si>
  <si>
    <t>PR_35</t>
  </si>
  <si>
    <t>PR_36</t>
  </si>
  <si>
    <t>PR_37</t>
  </si>
  <si>
    <t>PR_38</t>
  </si>
  <si>
    <t>PR_39</t>
  </si>
  <si>
    <t>PR_40</t>
  </si>
  <si>
    <t>PR_41</t>
  </si>
  <si>
    <t>PR_42</t>
  </si>
  <si>
    <t>PR_43</t>
  </si>
  <si>
    <t>PR_44</t>
  </si>
  <si>
    <t>PR_45</t>
  </si>
  <si>
    <t>PR_46</t>
  </si>
  <si>
    <t>PR_47</t>
  </si>
  <si>
    <t>PR_48</t>
  </si>
  <si>
    <t>PR_49</t>
  </si>
  <si>
    <t>PR_50</t>
  </si>
  <si>
    <t>PR_51</t>
  </si>
  <si>
    <t>PR_52</t>
  </si>
  <si>
    <t>PR_53</t>
  </si>
  <si>
    <t>PR_54</t>
  </si>
  <si>
    <t>PR_55</t>
  </si>
  <si>
    <t>PR_56</t>
  </si>
  <si>
    <t>PR_57</t>
  </si>
  <si>
    <t>PR_58</t>
  </si>
  <si>
    <t>PR_59</t>
  </si>
  <si>
    <t>PR_60</t>
  </si>
  <si>
    <t>PR_61</t>
  </si>
  <si>
    <t>PR_62</t>
  </si>
  <si>
    <t>PR_63</t>
  </si>
  <si>
    <t>PR_64</t>
  </si>
  <si>
    <t>PR_65</t>
  </si>
  <si>
    <t>PR_66</t>
  </si>
  <si>
    <t>PR_67</t>
  </si>
  <si>
    <t>PR_68</t>
  </si>
  <si>
    <t>PR_69</t>
  </si>
  <si>
    <t>PR_70</t>
  </si>
  <si>
    <t>PR_71</t>
  </si>
  <si>
    <t>PR_72</t>
  </si>
  <si>
    <t>PR_73</t>
  </si>
  <si>
    <t>PR_74</t>
  </si>
  <si>
    <t>PR_75</t>
  </si>
  <si>
    <t>PR_76</t>
  </si>
  <si>
    <t>PR_77</t>
  </si>
  <si>
    <t>PR_78</t>
  </si>
  <si>
    <t>PR_79</t>
  </si>
  <si>
    <t>PR_80</t>
  </si>
  <si>
    <t>PR_81</t>
  </si>
  <si>
    <t>PR_82</t>
  </si>
  <si>
    <t>PR_83</t>
  </si>
  <si>
    <t>PR_84</t>
  </si>
  <si>
    <t>PR_85</t>
  </si>
  <si>
    <t>PR_86</t>
  </si>
  <si>
    <t>PR_87</t>
  </si>
  <si>
    <t>PR_88</t>
  </si>
  <si>
    <t>PR_89</t>
  </si>
  <si>
    <t>PR_90</t>
  </si>
  <si>
    <t>PR_91</t>
  </si>
  <si>
    <t>PR_92</t>
  </si>
  <si>
    <t>PR_93</t>
  </si>
  <si>
    <t>PR_94</t>
  </si>
  <si>
    <t>PR_95</t>
  </si>
  <si>
    <t>PR_96</t>
  </si>
  <si>
    <t>PR_97</t>
  </si>
  <si>
    <t>PR_98</t>
  </si>
  <si>
    <t>PR_99</t>
  </si>
  <si>
    <t>PR_100</t>
  </si>
  <si>
    <t>discount_id</t>
  </si>
  <si>
    <t>discount_percent</t>
  </si>
  <si>
    <t>DS_1</t>
  </si>
  <si>
    <t>DS_2</t>
  </si>
  <si>
    <t>DS_3</t>
  </si>
  <si>
    <t>DS_4</t>
  </si>
  <si>
    <t>DS_5</t>
  </si>
  <si>
    <t>DS_6</t>
  </si>
  <si>
    <t>DS_7</t>
  </si>
  <si>
    <t>DS_8</t>
  </si>
  <si>
    <t>DS_9</t>
  </si>
  <si>
    <t>DS_10</t>
  </si>
  <si>
    <t>DS_11</t>
  </si>
  <si>
    <t>DS_12</t>
  </si>
  <si>
    <t>DS_13</t>
  </si>
  <si>
    <t>DS_14</t>
  </si>
  <si>
    <t>DS_15</t>
  </si>
  <si>
    <t>DS_16</t>
  </si>
  <si>
    <t>DS_17</t>
  </si>
  <si>
    <t>DS_18</t>
  </si>
  <si>
    <t>DS_19</t>
  </si>
  <si>
    <t>DS_20</t>
  </si>
  <si>
    <t>DS_21</t>
  </si>
  <si>
    <t>DS_22</t>
  </si>
  <si>
    <t>DS_23</t>
  </si>
  <si>
    <t>DS_24</t>
  </si>
  <si>
    <t>DS_25</t>
  </si>
  <si>
    <t>DS_26</t>
  </si>
  <si>
    <t>DS_27</t>
  </si>
  <si>
    <t>DS_28</t>
  </si>
  <si>
    <t>DS_29</t>
  </si>
  <si>
    <t>DS_30</t>
  </si>
  <si>
    <t>DS_31</t>
  </si>
  <si>
    <t>DS_32</t>
  </si>
  <si>
    <t>DS_33</t>
  </si>
  <si>
    <t>DS_34</t>
  </si>
  <si>
    <t>DS_35</t>
  </si>
  <si>
    <t>DS_36</t>
  </si>
  <si>
    <t>DS_37</t>
  </si>
  <si>
    <t>DS_38</t>
  </si>
  <si>
    <t>DS_39</t>
  </si>
  <si>
    <t>DS_40</t>
  </si>
  <si>
    <t>DS_41</t>
  </si>
  <si>
    <t>DS_42</t>
  </si>
  <si>
    <t>DS_43</t>
  </si>
  <si>
    <t>DS_44</t>
  </si>
  <si>
    <t>DS_45</t>
  </si>
  <si>
    <t>DS_46</t>
  </si>
  <si>
    <t>DS_47</t>
  </si>
  <si>
    <t>DS_48</t>
  </si>
  <si>
    <t>DS_49</t>
  </si>
  <si>
    <t>DS_50</t>
  </si>
  <si>
    <t>DS_51</t>
  </si>
  <si>
    <t>DS_52</t>
  </si>
  <si>
    <t>DS_53</t>
  </si>
  <si>
    <t>DS_54</t>
  </si>
  <si>
    <t>DS_55</t>
  </si>
  <si>
    <t>DS_56</t>
  </si>
  <si>
    <t>DS_57</t>
  </si>
  <si>
    <t>DS_58</t>
  </si>
  <si>
    <t>DS_59</t>
  </si>
  <si>
    <t>DS_60</t>
  </si>
  <si>
    <t>DS_61</t>
  </si>
  <si>
    <t>DS_62</t>
  </si>
  <si>
    <t>DS_63</t>
  </si>
  <si>
    <t>DS_64</t>
  </si>
  <si>
    <t>DS_65</t>
  </si>
  <si>
    <t>DS_66</t>
  </si>
  <si>
    <t>DS_67</t>
  </si>
  <si>
    <t>DS_68</t>
  </si>
  <si>
    <t>DS_69</t>
  </si>
  <si>
    <t>DS_70</t>
  </si>
  <si>
    <t>DS_71</t>
  </si>
  <si>
    <t>DS_72</t>
  </si>
  <si>
    <t>DS_73</t>
  </si>
  <si>
    <t>DS_74</t>
  </si>
  <si>
    <t>DS_75</t>
  </si>
  <si>
    <t>DS_76</t>
  </si>
  <si>
    <t>DS_77</t>
  </si>
  <si>
    <t>DS_78</t>
  </si>
  <si>
    <t>DS_79</t>
  </si>
  <si>
    <t>DS_80</t>
  </si>
  <si>
    <t>DS_81</t>
  </si>
  <si>
    <t>DS_82</t>
  </si>
  <si>
    <t>DS_83</t>
  </si>
  <si>
    <t>DS_84</t>
  </si>
  <si>
    <t>DS_85</t>
  </si>
  <si>
    <t>DS_86</t>
  </si>
  <si>
    <t>DS_87</t>
  </si>
  <si>
    <t>DS_88</t>
  </si>
  <si>
    <t>DS_89</t>
  </si>
  <si>
    <t>DS_90</t>
  </si>
  <si>
    <t>DS_91</t>
  </si>
  <si>
    <t>DS_92</t>
  </si>
  <si>
    <t>DS_93</t>
  </si>
  <si>
    <t>DS_94</t>
  </si>
  <si>
    <t>DS_95</t>
  </si>
  <si>
    <t>DS_96</t>
  </si>
  <si>
    <t>DS_97</t>
  </si>
  <si>
    <t>DS_98</t>
  </si>
  <si>
    <t>DS_99</t>
  </si>
  <si>
    <t>DS_100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</si>
</sst>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16</v>
      </c>
      <c r="C4" s="2" t="s">
        <v>17</v>
      </c>
      <c r="D4" s="2" t="s">
        <v>8</v>
      </c>
      <c r="E4" s="2" t="s">
        <v>18</v>
      </c>
    </row>
    <row r="5">
      <c r="A5" s="2" t="s">
        <v>19</v>
      </c>
      <c r="B5" s="2" t="s">
        <v>20</v>
      </c>
      <c r="C5" s="2" t="s">
        <v>17</v>
      </c>
      <c r="D5" s="2" t="s">
        <v>8</v>
      </c>
      <c r="E5" s="2" t="s">
        <v>21</v>
      </c>
    </row>
    <row r="6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>
      <c r="A7" s="2" t="s">
        <v>26</v>
      </c>
      <c r="B7" s="2" t="s">
        <v>27</v>
      </c>
      <c r="C7" s="2" t="s">
        <v>28</v>
      </c>
      <c r="D7" s="2" t="s">
        <v>25</v>
      </c>
      <c r="E7" s="2" t="s">
        <v>14</v>
      </c>
    </row>
    <row r="8">
      <c r="A8" s="2" t="s">
        <v>29</v>
      </c>
      <c r="B8" s="2" t="s">
        <v>30</v>
      </c>
      <c r="C8" s="2" t="s">
        <v>24</v>
      </c>
      <c r="D8" s="2" t="s">
        <v>13</v>
      </c>
      <c r="E8" s="2" t="s">
        <v>9</v>
      </c>
    </row>
    <row r="9">
      <c r="A9" s="2" t="s">
        <v>31</v>
      </c>
      <c r="B9" s="2" t="s">
        <v>32</v>
      </c>
      <c r="C9" s="2" t="s">
        <v>24</v>
      </c>
      <c r="D9" s="2" t="s">
        <v>13</v>
      </c>
      <c r="E9" s="2" t="s">
        <v>33</v>
      </c>
    </row>
    <row r="10">
      <c r="A10" s="2" t="s">
        <v>34</v>
      </c>
      <c r="B10" s="2" t="s">
        <v>35</v>
      </c>
      <c r="C10" s="2" t="s">
        <v>28</v>
      </c>
      <c r="D10" s="2" t="s">
        <v>13</v>
      </c>
      <c r="E10" s="2" t="s">
        <v>36</v>
      </c>
    </row>
    <row r="11">
      <c r="A11" s="2" t="s">
        <v>37</v>
      </c>
      <c r="B11" s="2" t="s">
        <v>38</v>
      </c>
      <c r="C11" s="2" t="s">
        <v>12</v>
      </c>
      <c r="D11" s="2" t="s">
        <v>25</v>
      </c>
      <c r="E11" s="2" t="s">
        <v>39</v>
      </c>
    </row>
    <row r="12">
      <c r="A12" s="2" t="s">
        <v>40</v>
      </c>
      <c r="B12" s="2" t="s">
        <v>41</v>
      </c>
      <c r="C12" s="2" t="s">
        <v>7</v>
      </c>
      <c r="D12" s="2" t="s">
        <v>8</v>
      </c>
      <c r="E12" s="2" t="s">
        <v>42</v>
      </c>
    </row>
    <row r="13">
      <c r="A13" s="2" t="s">
        <v>43</v>
      </c>
      <c r="B13" s="2" t="s">
        <v>44</v>
      </c>
      <c r="C13" s="2" t="s">
        <v>24</v>
      </c>
      <c r="D13" s="2" t="s">
        <v>25</v>
      </c>
      <c r="E13" s="2" t="s">
        <v>9</v>
      </c>
    </row>
    <row r="14">
      <c r="A14" s="2" t="s">
        <v>45</v>
      </c>
      <c r="B14" s="2" t="s">
        <v>46</v>
      </c>
      <c r="C14" s="2" t="s">
        <v>17</v>
      </c>
      <c r="D14" s="2" t="s">
        <v>13</v>
      </c>
      <c r="E14" s="2" t="s">
        <v>47</v>
      </c>
    </row>
    <row r="15">
      <c r="A15" s="2" t="s">
        <v>48</v>
      </c>
      <c r="B15" s="2" t="s">
        <v>49</v>
      </c>
      <c r="C15" s="2" t="s">
        <v>17</v>
      </c>
      <c r="D15" s="2" t="s">
        <v>25</v>
      </c>
      <c r="E15" s="2" t="s">
        <v>14</v>
      </c>
    </row>
    <row r="16">
      <c r="A16" s="2" t="s">
        <v>50</v>
      </c>
      <c r="B16" s="2" t="s">
        <v>51</v>
      </c>
      <c r="C16" s="2" t="s">
        <v>7</v>
      </c>
      <c r="D16" s="2" t="s">
        <v>25</v>
      </c>
      <c r="E16" s="2" t="s">
        <v>21</v>
      </c>
    </row>
    <row r="17">
      <c r="A17" s="2" t="s">
        <v>52</v>
      </c>
      <c r="B17" s="2" t="s">
        <v>53</v>
      </c>
      <c r="C17" s="2" t="s">
        <v>17</v>
      </c>
      <c r="D17" s="2" t="s">
        <v>13</v>
      </c>
      <c r="E17" s="2" t="s">
        <v>42</v>
      </c>
    </row>
    <row r="18">
      <c r="A18" s="2" t="s">
        <v>54</v>
      </c>
      <c r="B18" s="2" t="s">
        <v>55</v>
      </c>
      <c r="C18" s="2" t="s">
        <v>28</v>
      </c>
      <c r="D18" s="2" t="s">
        <v>13</v>
      </c>
      <c r="E18" s="2" t="s">
        <v>9</v>
      </c>
    </row>
    <row r="19">
      <c r="A19" s="2" t="s">
        <v>56</v>
      </c>
      <c r="B19" s="2" t="s">
        <v>57</v>
      </c>
      <c r="C19" s="2" t="s">
        <v>28</v>
      </c>
      <c r="D19" s="2" t="s">
        <v>8</v>
      </c>
      <c r="E19" s="2" t="s">
        <v>42</v>
      </c>
    </row>
    <row r="20">
      <c r="A20" s="2" t="s">
        <v>58</v>
      </c>
      <c r="B20" s="2" t="s">
        <v>59</v>
      </c>
      <c r="C20" s="2" t="s">
        <v>17</v>
      </c>
      <c r="D20" s="2" t="s">
        <v>13</v>
      </c>
      <c r="E20" s="2" t="s">
        <v>18</v>
      </c>
    </row>
    <row r="21">
      <c r="A21" s="2" t="s">
        <v>60</v>
      </c>
      <c r="B21" s="2" t="s">
        <v>61</v>
      </c>
      <c r="C21" s="2" t="s">
        <v>24</v>
      </c>
      <c r="D21" s="2" t="s">
        <v>13</v>
      </c>
      <c r="E21" s="2" t="s">
        <v>39</v>
      </c>
    </row>
    <row r="22">
      <c r="A22" s="2" t="s">
        <v>62</v>
      </c>
      <c r="B22" s="2" t="s">
        <v>63</v>
      </c>
      <c r="C22" s="2" t="s">
        <v>12</v>
      </c>
      <c r="D22" s="2" t="s">
        <v>8</v>
      </c>
      <c r="E22" s="2" t="s">
        <v>18</v>
      </c>
    </row>
    <row r="23">
      <c r="A23" s="2" t="s">
        <v>64</v>
      </c>
      <c r="B23" s="2" t="s">
        <v>65</v>
      </c>
      <c r="C23" s="2" t="s">
        <v>17</v>
      </c>
      <c r="D23" s="2" t="s">
        <v>8</v>
      </c>
      <c r="E23" s="2" t="s">
        <v>42</v>
      </c>
    </row>
    <row r="24">
      <c r="A24" s="2" t="s">
        <v>66</v>
      </c>
      <c r="B24" s="2" t="s">
        <v>67</v>
      </c>
      <c r="C24" s="2" t="s">
        <v>17</v>
      </c>
      <c r="D24" s="2" t="s">
        <v>25</v>
      </c>
      <c r="E24" s="2" t="s">
        <v>21</v>
      </c>
    </row>
    <row r="25">
      <c r="A25" s="2" t="s">
        <v>68</v>
      </c>
      <c r="B25" s="2" t="s">
        <v>69</v>
      </c>
      <c r="C25" s="2" t="s">
        <v>24</v>
      </c>
      <c r="D25" s="2" t="s">
        <v>13</v>
      </c>
      <c r="E25" s="2" t="s">
        <v>9</v>
      </c>
    </row>
    <row r="26">
      <c r="A26" s="2" t="s">
        <v>70</v>
      </c>
      <c r="B26" s="2" t="s">
        <v>71</v>
      </c>
      <c r="C26" s="2" t="s">
        <v>17</v>
      </c>
      <c r="D26" s="2" t="s">
        <v>8</v>
      </c>
      <c r="E26" s="2" t="s">
        <v>42</v>
      </c>
    </row>
    <row r="27">
      <c r="A27" s="2" t="s">
        <v>72</v>
      </c>
      <c r="B27" s="2" t="s">
        <v>73</v>
      </c>
      <c r="C27" s="2" t="s">
        <v>12</v>
      </c>
      <c r="D27" s="2" t="s">
        <v>13</v>
      </c>
      <c r="E27" s="2" t="s">
        <v>14</v>
      </c>
    </row>
    <row r="28">
      <c r="A28" s="2" t="s">
        <v>74</v>
      </c>
      <c r="B28" s="2" t="s">
        <v>75</v>
      </c>
      <c r="C28" s="2" t="s">
        <v>24</v>
      </c>
      <c r="D28" s="2" t="s">
        <v>13</v>
      </c>
      <c r="E28" s="2" t="s">
        <v>18</v>
      </c>
    </row>
    <row r="29">
      <c r="A29" s="2" t="s">
        <v>76</v>
      </c>
      <c r="B29" s="2" t="s">
        <v>77</v>
      </c>
      <c r="C29" s="2" t="s">
        <v>12</v>
      </c>
      <c r="D29" s="2" t="s">
        <v>8</v>
      </c>
      <c r="E29" s="2" t="s">
        <v>39</v>
      </c>
    </row>
    <row r="30">
      <c r="A30" s="2" t="s">
        <v>78</v>
      </c>
      <c r="B30" s="2" t="s">
        <v>79</v>
      </c>
      <c r="C30" s="2" t="s">
        <v>24</v>
      </c>
      <c r="D30" s="2" t="s">
        <v>13</v>
      </c>
      <c r="E30" s="2" t="s">
        <v>80</v>
      </c>
    </row>
    <row r="31">
      <c r="A31" s="2" t="s">
        <v>81</v>
      </c>
      <c r="B31" s="2" t="s">
        <v>82</v>
      </c>
      <c r="C31" s="2" t="s">
        <v>7</v>
      </c>
      <c r="D31" s="2" t="s">
        <v>8</v>
      </c>
      <c r="E31" s="2" t="s">
        <v>80</v>
      </c>
    </row>
    <row r="32">
      <c r="A32" s="2" t="s">
        <v>83</v>
      </c>
      <c r="B32" s="2" t="s">
        <v>84</v>
      </c>
      <c r="C32" s="2" t="s">
        <v>12</v>
      </c>
      <c r="D32" s="2" t="s">
        <v>8</v>
      </c>
      <c r="E32" s="2" t="s">
        <v>42</v>
      </c>
    </row>
    <row r="33">
      <c r="A33" s="2" t="s">
        <v>85</v>
      </c>
      <c r="B33" s="2" t="s">
        <v>86</v>
      </c>
      <c r="C33" s="2" t="s">
        <v>24</v>
      </c>
      <c r="D33" s="2" t="s">
        <v>8</v>
      </c>
      <c r="E33" s="2" t="s">
        <v>14</v>
      </c>
    </row>
    <row r="34">
      <c r="A34" s="2" t="s">
        <v>87</v>
      </c>
      <c r="B34" s="2" t="s">
        <v>88</v>
      </c>
      <c r="C34" s="2" t="s">
        <v>12</v>
      </c>
      <c r="D34" s="2" t="s">
        <v>25</v>
      </c>
      <c r="E34" s="2" t="s">
        <v>39</v>
      </c>
    </row>
    <row r="35">
      <c r="A35" s="2" t="s">
        <v>89</v>
      </c>
      <c r="B35" s="2" t="s">
        <v>90</v>
      </c>
      <c r="C35" s="2" t="s">
        <v>17</v>
      </c>
      <c r="D35" s="2" t="s">
        <v>25</v>
      </c>
      <c r="E35" s="2" t="s">
        <v>21</v>
      </c>
    </row>
    <row r="36">
      <c r="A36" s="2" t="s">
        <v>91</v>
      </c>
      <c r="B36" s="2" t="s">
        <v>92</v>
      </c>
      <c r="C36" s="2" t="s">
        <v>17</v>
      </c>
      <c r="D36" s="2" t="s">
        <v>13</v>
      </c>
      <c r="E36" s="2" t="s">
        <v>42</v>
      </c>
    </row>
    <row r="37">
      <c r="A37" s="2" t="s">
        <v>93</v>
      </c>
      <c r="B37" s="2" t="s">
        <v>94</v>
      </c>
      <c r="C37" s="2" t="s">
        <v>24</v>
      </c>
      <c r="D37" s="2" t="s">
        <v>25</v>
      </c>
      <c r="E37" s="2" t="s">
        <v>9</v>
      </c>
    </row>
    <row r="38">
      <c r="A38" s="2" t="s">
        <v>95</v>
      </c>
      <c r="B38" s="2" t="s">
        <v>96</v>
      </c>
      <c r="C38" s="2" t="s">
        <v>17</v>
      </c>
      <c r="D38" s="2" t="s">
        <v>13</v>
      </c>
      <c r="E38" s="2" t="s">
        <v>80</v>
      </c>
    </row>
    <row r="39">
      <c r="A39" s="2" t="s">
        <v>97</v>
      </c>
      <c r="B39" s="2" t="s">
        <v>98</v>
      </c>
      <c r="C39" s="2" t="s">
        <v>28</v>
      </c>
      <c r="D39" s="2" t="s">
        <v>8</v>
      </c>
      <c r="E39" s="2" t="s">
        <v>36</v>
      </c>
    </row>
    <row r="40">
      <c r="A40" s="2" t="s">
        <v>99</v>
      </c>
      <c r="B40" s="2" t="s">
        <v>100</v>
      </c>
      <c r="C40" s="2" t="s">
        <v>12</v>
      </c>
      <c r="D40" s="2" t="s">
        <v>8</v>
      </c>
      <c r="E40" s="2" t="s">
        <v>14</v>
      </c>
    </row>
    <row r="41">
      <c r="A41" s="2" t="s">
        <v>101</v>
      </c>
      <c r="B41" s="2" t="s">
        <v>102</v>
      </c>
      <c r="C41" s="2" t="s">
        <v>17</v>
      </c>
      <c r="D41" s="2" t="s">
        <v>25</v>
      </c>
      <c r="E41" s="2" t="s">
        <v>42</v>
      </c>
    </row>
    <row r="42">
      <c r="A42" s="2" t="s">
        <v>103</v>
      </c>
      <c r="B42" s="2" t="s">
        <v>104</v>
      </c>
      <c r="C42" s="2" t="s">
        <v>28</v>
      </c>
      <c r="D42" s="2" t="s">
        <v>8</v>
      </c>
      <c r="E42" s="2" t="s">
        <v>33</v>
      </c>
    </row>
    <row r="43">
      <c r="A43" s="2" t="s">
        <v>105</v>
      </c>
      <c r="B43" s="2" t="s">
        <v>106</v>
      </c>
      <c r="C43" s="2" t="s">
        <v>17</v>
      </c>
      <c r="D43" s="2" t="s">
        <v>13</v>
      </c>
      <c r="E43" s="2" t="s">
        <v>36</v>
      </c>
    </row>
    <row r="44">
      <c r="A44" s="2" t="s">
        <v>107</v>
      </c>
      <c r="B44" s="2" t="s">
        <v>108</v>
      </c>
      <c r="C44" s="2" t="s">
        <v>24</v>
      </c>
      <c r="D44" s="2" t="s">
        <v>25</v>
      </c>
      <c r="E44" s="2" t="s">
        <v>36</v>
      </c>
    </row>
    <row r="45">
      <c r="A45" s="2" t="s">
        <v>109</v>
      </c>
      <c r="B45" s="2" t="s">
        <v>110</v>
      </c>
      <c r="C45" s="2" t="s">
        <v>17</v>
      </c>
      <c r="D45" s="2" t="s">
        <v>25</v>
      </c>
      <c r="E45" s="2" t="s">
        <v>36</v>
      </c>
    </row>
    <row r="46">
      <c r="A46" s="2" t="s">
        <v>111</v>
      </c>
      <c r="B46" s="2" t="s">
        <v>112</v>
      </c>
      <c r="C46" s="2" t="s">
        <v>12</v>
      </c>
      <c r="D46" s="2" t="s">
        <v>8</v>
      </c>
      <c r="E46" s="2" t="s">
        <v>47</v>
      </c>
    </row>
    <row r="47">
      <c r="A47" s="2" t="s">
        <v>113</v>
      </c>
      <c r="B47" s="2" t="s">
        <v>114</v>
      </c>
      <c r="C47" s="2" t="s">
        <v>24</v>
      </c>
      <c r="D47" s="2" t="s">
        <v>25</v>
      </c>
      <c r="E47" s="2" t="s">
        <v>14</v>
      </c>
    </row>
    <row r="48">
      <c r="A48" s="2" t="s">
        <v>115</v>
      </c>
      <c r="B48" s="2" t="s">
        <v>116</v>
      </c>
      <c r="C48" s="2" t="s">
        <v>17</v>
      </c>
      <c r="D48" s="2" t="s">
        <v>8</v>
      </c>
      <c r="E48" s="2" t="s">
        <v>47</v>
      </c>
    </row>
    <row r="49">
      <c r="A49" s="2" t="s">
        <v>117</v>
      </c>
      <c r="B49" s="2" t="s">
        <v>118</v>
      </c>
      <c r="C49" s="2" t="s">
        <v>24</v>
      </c>
      <c r="D49" s="2" t="s">
        <v>25</v>
      </c>
      <c r="E49" s="2" t="s">
        <v>39</v>
      </c>
    </row>
    <row r="50">
      <c r="A50" s="2" t="s">
        <v>119</v>
      </c>
      <c r="B50" s="2" t="s">
        <v>120</v>
      </c>
      <c r="C50" s="2" t="s">
        <v>17</v>
      </c>
      <c r="D50" s="2" t="s">
        <v>25</v>
      </c>
      <c r="E50" s="2" t="s">
        <v>33</v>
      </c>
    </row>
    <row r="51">
      <c r="A51" s="2" t="s">
        <v>121</v>
      </c>
      <c r="B51" s="2" t="s">
        <v>122</v>
      </c>
      <c r="C51" s="2" t="s">
        <v>24</v>
      </c>
      <c r="D51" s="2" t="s">
        <v>13</v>
      </c>
      <c r="E51" s="2" t="s">
        <v>36</v>
      </c>
    </row>
    <row r="52">
      <c r="A52" s="2" t="s">
        <v>123</v>
      </c>
      <c r="B52" s="2" t="s">
        <v>124</v>
      </c>
      <c r="C52" s="2" t="s">
        <v>12</v>
      </c>
      <c r="D52" s="2" t="s">
        <v>25</v>
      </c>
      <c r="E52" s="2" t="s">
        <v>39</v>
      </c>
    </row>
    <row r="53">
      <c r="A53" s="2" t="s">
        <v>125</v>
      </c>
      <c r="B53" s="2" t="s">
        <v>126</v>
      </c>
      <c r="C53" s="2" t="s">
        <v>7</v>
      </c>
      <c r="D53" s="2" t="s">
        <v>25</v>
      </c>
      <c r="E53" s="2" t="s">
        <v>36</v>
      </c>
    </row>
    <row r="54">
      <c r="A54" s="2" t="s">
        <v>127</v>
      </c>
      <c r="B54" s="2" t="s">
        <v>128</v>
      </c>
      <c r="C54" s="2" t="s">
        <v>7</v>
      </c>
      <c r="D54" s="2" t="s">
        <v>8</v>
      </c>
      <c r="E54" s="2" t="s">
        <v>9</v>
      </c>
    </row>
    <row r="55">
      <c r="A55" s="2" t="s">
        <v>129</v>
      </c>
      <c r="B55" s="2" t="s">
        <v>130</v>
      </c>
      <c r="C55" s="2" t="s">
        <v>12</v>
      </c>
      <c r="D55" s="2" t="s">
        <v>8</v>
      </c>
      <c r="E55" s="2" t="s">
        <v>47</v>
      </c>
    </row>
    <row r="56">
      <c r="A56" s="2" t="s">
        <v>131</v>
      </c>
      <c r="B56" s="2" t="s">
        <v>132</v>
      </c>
      <c r="C56" s="2" t="s">
        <v>7</v>
      </c>
      <c r="D56" s="2" t="s">
        <v>25</v>
      </c>
      <c r="E56" s="2" t="s">
        <v>14</v>
      </c>
    </row>
    <row r="57">
      <c r="A57" s="2" t="s">
        <v>133</v>
      </c>
      <c r="B57" s="2" t="s">
        <v>134</v>
      </c>
      <c r="C57" s="2" t="s">
        <v>12</v>
      </c>
      <c r="D57" s="2" t="s">
        <v>13</v>
      </c>
      <c r="E57" s="2" t="s">
        <v>18</v>
      </c>
    </row>
    <row r="58">
      <c r="A58" s="2" t="s">
        <v>135</v>
      </c>
      <c r="B58" s="2" t="s">
        <v>136</v>
      </c>
      <c r="C58" s="2" t="s">
        <v>7</v>
      </c>
      <c r="D58" s="2" t="s">
        <v>13</v>
      </c>
      <c r="E58" s="2" t="s">
        <v>14</v>
      </c>
    </row>
    <row r="59">
      <c r="A59" s="2" t="s">
        <v>137</v>
      </c>
      <c r="B59" s="2" t="s">
        <v>138</v>
      </c>
      <c r="C59" s="2" t="s">
        <v>7</v>
      </c>
      <c r="D59" s="2" t="s">
        <v>13</v>
      </c>
      <c r="E59" s="2" t="s">
        <v>14</v>
      </c>
    </row>
    <row r="60">
      <c r="A60" s="2" t="s">
        <v>139</v>
      </c>
      <c r="B60" s="2" t="s">
        <v>140</v>
      </c>
      <c r="C60" s="2" t="s">
        <v>28</v>
      </c>
      <c r="D60" s="2" t="s">
        <v>13</v>
      </c>
      <c r="E60" s="2" t="s">
        <v>21</v>
      </c>
    </row>
    <row r="61">
      <c r="A61" s="2" t="s">
        <v>141</v>
      </c>
      <c r="B61" s="2" t="s">
        <v>142</v>
      </c>
      <c r="C61" s="2" t="s">
        <v>17</v>
      </c>
      <c r="D61" s="2" t="s">
        <v>25</v>
      </c>
      <c r="E61" s="2" t="s">
        <v>21</v>
      </c>
    </row>
    <row r="62">
      <c r="A62" s="2" t="s">
        <v>143</v>
      </c>
      <c r="B62" s="2" t="s">
        <v>144</v>
      </c>
      <c r="C62" s="2" t="s">
        <v>12</v>
      </c>
      <c r="D62" s="2" t="s">
        <v>8</v>
      </c>
      <c r="E62" s="2" t="s">
        <v>21</v>
      </c>
    </row>
    <row r="63">
      <c r="A63" s="2" t="s">
        <v>145</v>
      </c>
      <c r="B63" s="2" t="s">
        <v>146</v>
      </c>
      <c r="C63" s="2" t="s">
        <v>24</v>
      </c>
      <c r="D63" s="2" t="s">
        <v>13</v>
      </c>
      <c r="E63" s="2" t="s">
        <v>36</v>
      </c>
    </row>
    <row r="64">
      <c r="A64" s="2" t="s">
        <v>147</v>
      </c>
      <c r="B64" s="2" t="s">
        <v>148</v>
      </c>
      <c r="C64" s="2" t="s">
        <v>12</v>
      </c>
      <c r="D64" s="2" t="s">
        <v>25</v>
      </c>
      <c r="E64" s="2" t="s">
        <v>18</v>
      </c>
    </row>
    <row r="65">
      <c r="A65" s="2" t="s">
        <v>149</v>
      </c>
      <c r="B65" s="2" t="s">
        <v>150</v>
      </c>
      <c r="C65" s="2" t="s">
        <v>28</v>
      </c>
      <c r="D65" s="2" t="s">
        <v>25</v>
      </c>
      <c r="E65" s="2" t="s">
        <v>18</v>
      </c>
    </row>
    <row r="66">
      <c r="A66" s="2" t="s">
        <v>151</v>
      </c>
      <c r="B66" s="2" t="s">
        <v>152</v>
      </c>
      <c r="C66" s="2" t="s">
        <v>7</v>
      </c>
      <c r="D66" s="2" t="s">
        <v>13</v>
      </c>
      <c r="E66" s="2" t="s">
        <v>33</v>
      </c>
    </row>
    <row r="67">
      <c r="A67" s="2" t="s">
        <v>153</v>
      </c>
      <c r="B67" s="2" t="s">
        <v>154</v>
      </c>
      <c r="C67" s="2" t="s">
        <v>28</v>
      </c>
      <c r="D67" s="2" t="s">
        <v>8</v>
      </c>
      <c r="E67" s="2" t="s">
        <v>36</v>
      </c>
    </row>
    <row r="68">
      <c r="A68" s="2" t="s">
        <v>155</v>
      </c>
      <c r="B68" s="2" t="s">
        <v>156</v>
      </c>
      <c r="C68" s="2" t="s">
        <v>24</v>
      </c>
      <c r="D68" s="2" t="s">
        <v>25</v>
      </c>
      <c r="E68" s="2" t="s">
        <v>33</v>
      </c>
    </row>
    <row r="69">
      <c r="A69" s="2" t="s">
        <v>157</v>
      </c>
      <c r="B69" s="2" t="s">
        <v>158</v>
      </c>
      <c r="C69" s="2" t="s">
        <v>7</v>
      </c>
      <c r="D69" s="2" t="s">
        <v>13</v>
      </c>
      <c r="E69" s="2" t="s">
        <v>39</v>
      </c>
    </row>
    <row r="70">
      <c r="A70" s="2" t="s">
        <v>159</v>
      </c>
      <c r="B70" s="2" t="s">
        <v>160</v>
      </c>
      <c r="C70" s="2" t="s">
        <v>24</v>
      </c>
      <c r="D70" s="2" t="s">
        <v>13</v>
      </c>
      <c r="E70" s="2" t="s">
        <v>14</v>
      </c>
    </row>
    <row r="71">
      <c r="A71" s="2" t="s">
        <v>161</v>
      </c>
      <c r="B71" s="2" t="s">
        <v>162</v>
      </c>
      <c r="C71" s="2" t="s">
        <v>24</v>
      </c>
      <c r="D71" s="2" t="s">
        <v>25</v>
      </c>
      <c r="E71" s="2" t="s">
        <v>42</v>
      </c>
    </row>
    <row r="72">
      <c r="A72" s="2" t="s">
        <v>163</v>
      </c>
      <c r="B72" s="2" t="s">
        <v>164</v>
      </c>
      <c r="C72" s="2" t="s">
        <v>12</v>
      </c>
      <c r="D72" s="2" t="s">
        <v>25</v>
      </c>
      <c r="E72" s="2" t="s">
        <v>21</v>
      </c>
    </row>
    <row r="73">
      <c r="A73" s="2" t="s">
        <v>165</v>
      </c>
      <c r="B73" s="2" t="s">
        <v>166</v>
      </c>
      <c r="C73" s="2" t="s">
        <v>24</v>
      </c>
      <c r="D73" s="2" t="s">
        <v>8</v>
      </c>
      <c r="E73" s="2" t="s">
        <v>21</v>
      </c>
    </row>
    <row r="74">
      <c r="A74" s="2" t="s">
        <v>167</v>
      </c>
      <c r="B74" s="2" t="s">
        <v>168</v>
      </c>
      <c r="C74" s="2" t="s">
        <v>24</v>
      </c>
      <c r="D74" s="2" t="s">
        <v>13</v>
      </c>
      <c r="E74" s="2" t="s">
        <v>21</v>
      </c>
    </row>
    <row r="75">
      <c r="A75" s="2" t="s">
        <v>169</v>
      </c>
      <c r="B75" s="2" t="s">
        <v>170</v>
      </c>
      <c r="C75" s="2" t="s">
        <v>24</v>
      </c>
      <c r="D75" s="2" t="s">
        <v>8</v>
      </c>
      <c r="E75" s="2" t="s">
        <v>9</v>
      </c>
    </row>
    <row r="76">
      <c r="A76" s="2" t="s">
        <v>171</v>
      </c>
      <c r="B76" s="2" t="s">
        <v>172</v>
      </c>
      <c r="C76" s="2" t="s">
        <v>12</v>
      </c>
      <c r="D76" s="2" t="s">
        <v>8</v>
      </c>
      <c r="E76" s="2" t="s">
        <v>80</v>
      </c>
    </row>
    <row r="77">
      <c r="A77" s="2" t="s">
        <v>173</v>
      </c>
      <c r="B77" s="2" t="s">
        <v>174</v>
      </c>
      <c r="C77" s="2" t="s">
        <v>17</v>
      </c>
      <c r="D77" s="2" t="s">
        <v>8</v>
      </c>
      <c r="E77" s="2" t="s">
        <v>33</v>
      </c>
    </row>
    <row r="78">
      <c r="A78" s="2" t="s">
        <v>175</v>
      </c>
      <c r="B78" s="2" t="s">
        <v>176</v>
      </c>
      <c r="C78" s="2" t="s">
        <v>28</v>
      </c>
      <c r="D78" s="2" t="s">
        <v>13</v>
      </c>
      <c r="E78" s="2" t="s">
        <v>33</v>
      </c>
    </row>
    <row r="79">
      <c r="A79" s="2" t="s">
        <v>177</v>
      </c>
      <c r="B79" s="2" t="s">
        <v>178</v>
      </c>
      <c r="C79" s="2" t="s">
        <v>28</v>
      </c>
      <c r="D79" s="2" t="s">
        <v>8</v>
      </c>
      <c r="E79" s="2" t="s">
        <v>80</v>
      </c>
    </row>
    <row r="80">
      <c r="A80" s="2" t="s">
        <v>179</v>
      </c>
      <c r="B80" s="2" t="s">
        <v>180</v>
      </c>
      <c r="C80" s="2" t="s">
        <v>28</v>
      </c>
      <c r="D80" s="2" t="s">
        <v>13</v>
      </c>
      <c r="E80" s="2" t="s">
        <v>36</v>
      </c>
    </row>
    <row r="81">
      <c r="A81" s="2" t="s">
        <v>181</v>
      </c>
      <c r="B81" s="2" t="s">
        <v>182</v>
      </c>
      <c r="C81" s="2" t="s">
        <v>12</v>
      </c>
      <c r="D81" s="2" t="s">
        <v>25</v>
      </c>
      <c r="E81" s="2" t="s">
        <v>42</v>
      </c>
    </row>
    <row r="82">
      <c r="A82" s="2" t="s">
        <v>183</v>
      </c>
      <c r="B82" s="2" t="s">
        <v>184</v>
      </c>
      <c r="C82" s="2" t="s">
        <v>7</v>
      </c>
      <c r="D82" s="2" t="s">
        <v>8</v>
      </c>
      <c r="E82" s="2" t="s">
        <v>14</v>
      </c>
    </row>
    <row r="83">
      <c r="A83" s="2" t="s">
        <v>185</v>
      </c>
      <c r="B83" s="2" t="s">
        <v>186</v>
      </c>
      <c r="C83" s="2" t="s">
        <v>7</v>
      </c>
      <c r="D83" s="2" t="s">
        <v>25</v>
      </c>
      <c r="E83" s="2" t="s">
        <v>42</v>
      </c>
    </row>
    <row r="84">
      <c r="A84" s="2" t="s">
        <v>187</v>
      </c>
      <c r="B84" s="2" t="s">
        <v>188</v>
      </c>
      <c r="C84" s="2" t="s">
        <v>17</v>
      </c>
      <c r="D84" s="2" t="s">
        <v>13</v>
      </c>
      <c r="E84" s="2" t="s">
        <v>39</v>
      </c>
    </row>
    <row r="85">
      <c r="A85" s="2" t="s">
        <v>189</v>
      </c>
      <c r="B85" s="2" t="s">
        <v>190</v>
      </c>
      <c r="C85" s="2" t="s">
        <v>12</v>
      </c>
      <c r="D85" s="2" t="s">
        <v>13</v>
      </c>
      <c r="E85" s="2" t="s">
        <v>39</v>
      </c>
    </row>
    <row r="86">
      <c r="A86" s="2" t="s">
        <v>191</v>
      </c>
      <c r="B86" s="2" t="s">
        <v>192</v>
      </c>
      <c r="C86" s="2" t="s">
        <v>28</v>
      </c>
      <c r="D86" s="2" t="s">
        <v>8</v>
      </c>
      <c r="E86" s="2" t="s">
        <v>14</v>
      </c>
    </row>
    <row r="87">
      <c r="A87" s="2" t="s">
        <v>193</v>
      </c>
      <c r="B87" s="2" t="s">
        <v>194</v>
      </c>
      <c r="C87" s="2" t="s">
        <v>24</v>
      </c>
      <c r="D87" s="2" t="s">
        <v>8</v>
      </c>
      <c r="E87" s="2" t="s">
        <v>9</v>
      </c>
    </row>
    <row r="88">
      <c r="A88" s="2" t="s">
        <v>195</v>
      </c>
      <c r="B88" s="2" t="s">
        <v>196</v>
      </c>
      <c r="C88" s="2" t="s">
        <v>12</v>
      </c>
      <c r="D88" s="2" t="s">
        <v>8</v>
      </c>
      <c r="E88" s="2" t="s">
        <v>80</v>
      </c>
    </row>
    <row r="89">
      <c r="A89" s="2" t="s">
        <v>197</v>
      </c>
      <c r="B89" s="2" t="s">
        <v>198</v>
      </c>
      <c r="C89" s="2" t="s">
        <v>12</v>
      </c>
      <c r="D89" s="2" t="s">
        <v>13</v>
      </c>
      <c r="E89" s="2" t="s">
        <v>9</v>
      </c>
    </row>
    <row r="90">
      <c r="A90" s="2" t="s">
        <v>199</v>
      </c>
      <c r="B90" s="2" t="s">
        <v>200</v>
      </c>
      <c r="C90" s="2" t="s">
        <v>17</v>
      </c>
      <c r="D90" s="2" t="s">
        <v>25</v>
      </c>
      <c r="E90" s="2" t="s">
        <v>9</v>
      </c>
    </row>
    <row r="91">
      <c r="A91" s="2" t="s">
        <v>201</v>
      </c>
      <c r="B91" s="2" t="s">
        <v>202</v>
      </c>
      <c r="C91" s="2" t="s">
        <v>12</v>
      </c>
      <c r="D91" s="2" t="s">
        <v>13</v>
      </c>
      <c r="E91" s="2" t="s">
        <v>18</v>
      </c>
    </row>
    <row r="92">
      <c r="A92" s="2" t="s">
        <v>203</v>
      </c>
      <c r="B92" s="2" t="s">
        <v>204</v>
      </c>
      <c r="C92" s="2" t="s">
        <v>7</v>
      </c>
      <c r="D92" s="2" t="s">
        <v>13</v>
      </c>
      <c r="E92" s="2" t="s">
        <v>36</v>
      </c>
    </row>
    <row r="93">
      <c r="A93" s="2" t="s">
        <v>205</v>
      </c>
      <c r="B93" s="2" t="s">
        <v>206</v>
      </c>
      <c r="C93" s="2" t="s">
        <v>28</v>
      </c>
      <c r="D93" s="2" t="s">
        <v>13</v>
      </c>
      <c r="E93" s="2" t="s">
        <v>42</v>
      </c>
    </row>
    <row r="94">
      <c r="A94" s="2" t="s">
        <v>207</v>
      </c>
      <c r="B94" s="2" t="s">
        <v>208</v>
      </c>
      <c r="C94" s="2" t="s">
        <v>24</v>
      </c>
      <c r="D94" s="2" t="s">
        <v>13</v>
      </c>
      <c r="E94" s="2" t="s">
        <v>39</v>
      </c>
    </row>
    <row r="95">
      <c r="A95" s="2" t="s">
        <v>209</v>
      </c>
      <c r="B95" s="2" t="s">
        <v>210</v>
      </c>
      <c r="C95" s="2" t="s">
        <v>17</v>
      </c>
      <c r="D95" s="2" t="s">
        <v>13</v>
      </c>
      <c r="E95" s="2" t="s">
        <v>33</v>
      </c>
    </row>
    <row r="96">
      <c r="A96" s="2" t="s">
        <v>211</v>
      </c>
      <c r="B96" s="2" t="s">
        <v>212</v>
      </c>
      <c r="C96" s="2" t="s">
        <v>7</v>
      </c>
      <c r="D96" s="2" t="s">
        <v>25</v>
      </c>
      <c r="E96" s="2" t="s">
        <v>80</v>
      </c>
    </row>
    <row r="97">
      <c r="A97" s="2" t="s">
        <v>213</v>
      </c>
      <c r="B97" s="2" t="s">
        <v>214</v>
      </c>
      <c r="C97" s="2" t="s">
        <v>17</v>
      </c>
      <c r="D97" s="2" t="s">
        <v>25</v>
      </c>
      <c r="E97" s="2" t="s">
        <v>80</v>
      </c>
    </row>
    <row r="98">
      <c r="A98" s="2" t="s">
        <v>215</v>
      </c>
      <c r="B98" s="2" t="s">
        <v>216</v>
      </c>
      <c r="C98" s="2" t="s">
        <v>17</v>
      </c>
      <c r="D98" s="2" t="s">
        <v>8</v>
      </c>
      <c r="E98" s="2" t="s">
        <v>42</v>
      </c>
    </row>
    <row r="99">
      <c r="A99" s="2" t="s">
        <v>217</v>
      </c>
      <c r="B99" s="2" t="s">
        <v>218</v>
      </c>
      <c r="C99" s="2" t="s">
        <v>28</v>
      </c>
      <c r="D99" s="2" t="s">
        <v>13</v>
      </c>
      <c r="E99" s="2" t="s">
        <v>9</v>
      </c>
    </row>
    <row r="100">
      <c r="A100" s="2" t="s">
        <v>219</v>
      </c>
      <c r="B100" s="2" t="s">
        <v>220</v>
      </c>
      <c r="C100" s="2" t="s">
        <v>17</v>
      </c>
      <c r="D100" s="2" t="s">
        <v>8</v>
      </c>
      <c r="E100" s="2" t="s">
        <v>36</v>
      </c>
    </row>
    <row r="101">
      <c r="A101" s="2" t="s">
        <v>221</v>
      </c>
      <c r="B101" s="2" t="s">
        <v>222</v>
      </c>
      <c r="C101" s="2" t="s">
        <v>12</v>
      </c>
      <c r="D101" s="2" t="s">
        <v>13</v>
      </c>
      <c r="E101" s="2" t="s">
        <v>80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223</v>
      </c>
      <c r="B1" s="1" t="s">
        <v>224</v>
      </c>
      <c r="C1" s="1" t="s">
        <v>225</v>
      </c>
      <c r="D1" s="1" t="s">
        <v>226</v>
      </c>
      <c r="E1" s="1" t="s">
        <v>227</v>
      </c>
      <c r="F1" s="1" t="s">
        <v>228</v>
      </c>
      <c r="G1" s="3"/>
    </row>
    <row r="2">
      <c r="A2" s="4">
        <v>1.0</v>
      </c>
      <c r="B2" s="2" t="s">
        <v>229</v>
      </c>
      <c r="C2" s="2" t="s">
        <v>230</v>
      </c>
      <c r="D2" s="2" t="s">
        <v>231</v>
      </c>
      <c r="E2" s="3">
        <f>+380711664668</f>
        <v>380711664668</v>
      </c>
      <c r="F2" s="2" t="s">
        <v>232</v>
      </c>
    </row>
    <row r="3">
      <c r="A3" s="4">
        <v>2.0</v>
      </c>
      <c r="B3" s="2" t="s">
        <v>233</v>
      </c>
      <c r="C3" s="2" t="s">
        <v>234</v>
      </c>
      <c r="D3" s="2" t="s">
        <v>235</v>
      </c>
      <c r="E3" s="3">
        <f>+380811432687</f>
        <v>380811432687</v>
      </c>
      <c r="F3" s="2" t="s">
        <v>236</v>
      </c>
    </row>
    <row r="4">
      <c r="A4" s="4">
        <v>3.0</v>
      </c>
      <c r="B4" s="2" t="s">
        <v>237</v>
      </c>
      <c r="C4" s="2" t="s">
        <v>230</v>
      </c>
      <c r="D4" s="2" t="s">
        <v>238</v>
      </c>
      <c r="E4" s="3">
        <f>+380825112345</f>
        <v>380825112345</v>
      </c>
      <c r="F4" s="2" t="s">
        <v>239</v>
      </c>
    </row>
    <row r="5">
      <c r="A5" s="4">
        <v>4.0</v>
      </c>
      <c r="B5" s="2" t="s">
        <v>240</v>
      </c>
      <c r="C5" s="2" t="s">
        <v>234</v>
      </c>
      <c r="D5" s="2" t="s">
        <v>241</v>
      </c>
      <c r="E5" s="3">
        <f>+380601147363</f>
        <v>380601147363</v>
      </c>
      <c r="F5" s="2" t="s">
        <v>242</v>
      </c>
    </row>
    <row r="6">
      <c r="A6" s="4">
        <v>5.0</v>
      </c>
      <c r="B6" s="2" t="s">
        <v>243</v>
      </c>
      <c r="C6" s="2" t="s">
        <v>244</v>
      </c>
      <c r="D6" s="2" t="s">
        <v>245</v>
      </c>
      <c r="E6" s="3">
        <f>+380848614326</f>
        <v>380848614326</v>
      </c>
      <c r="F6" s="2" t="s">
        <v>246</v>
      </c>
    </row>
    <row r="7">
      <c r="A7" s="4">
        <v>6.0</v>
      </c>
      <c r="B7" s="2" t="s">
        <v>247</v>
      </c>
      <c r="C7" s="2" t="s">
        <v>248</v>
      </c>
      <c r="D7" s="2" t="s">
        <v>249</v>
      </c>
      <c r="E7" s="3">
        <f>+380833863095</f>
        <v>380833863095</v>
      </c>
      <c r="F7" s="2" t="s">
        <v>250</v>
      </c>
    </row>
    <row r="8">
      <c r="A8" s="4">
        <v>7.0</v>
      </c>
      <c r="B8" s="2" t="s">
        <v>251</v>
      </c>
      <c r="C8" s="2" t="s">
        <v>248</v>
      </c>
      <c r="D8" s="2" t="s">
        <v>252</v>
      </c>
      <c r="E8" s="3">
        <f>+380748426836</f>
        <v>380748426836</v>
      </c>
      <c r="F8" s="2" t="s">
        <v>253</v>
      </c>
    </row>
    <row r="9">
      <c r="A9" s="4">
        <v>8.0</v>
      </c>
      <c r="B9" s="2" t="s">
        <v>254</v>
      </c>
      <c r="C9" s="2" t="s">
        <v>230</v>
      </c>
      <c r="D9" s="2" t="s">
        <v>255</v>
      </c>
      <c r="E9" s="3">
        <f>+380816814724</f>
        <v>380816814724</v>
      </c>
      <c r="F9" s="2" t="s">
        <v>256</v>
      </c>
    </row>
    <row r="10">
      <c r="A10" s="4">
        <v>9.0</v>
      </c>
      <c r="B10" s="2" t="s">
        <v>257</v>
      </c>
      <c r="C10" s="2" t="s">
        <v>234</v>
      </c>
      <c r="D10" s="2" t="s">
        <v>258</v>
      </c>
      <c r="E10" s="3">
        <f>+380700795534</f>
        <v>380700795534</v>
      </c>
      <c r="F10" s="2" t="s">
        <v>259</v>
      </c>
    </row>
    <row r="11">
      <c r="A11" s="4">
        <v>10.0</v>
      </c>
      <c r="B11" s="2" t="s">
        <v>260</v>
      </c>
      <c r="C11" s="2" t="s">
        <v>230</v>
      </c>
      <c r="D11" s="2" t="s">
        <v>261</v>
      </c>
      <c r="E11" s="3">
        <f>+380967273382</f>
        <v>380967273382</v>
      </c>
      <c r="F11" s="2" t="s">
        <v>262</v>
      </c>
    </row>
    <row r="12">
      <c r="A12" s="4">
        <v>11.0</v>
      </c>
      <c r="B12" s="2" t="s">
        <v>263</v>
      </c>
      <c r="C12" s="2" t="s">
        <v>234</v>
      </c>
      <c r="D12" s="2" t="s">
        <v>264</v>
      </c>
      <c r="E12" s="3">
        <f>+380599070164</f>
        <v>380599070164</v>
      </c>
      <c r="F12" s="2" t="s">
        <v>265</v>
      </c>
    </row>
    <row r="13">
      <c r="A13" s="4">
        <v>12.0</v>
      </c>
      <c r="B13" s="2" t="s">
        <v>266</v>
      </c>
      <c r="C13" s="2" t="s">
        <v>267</v>
      </c>
      <c r="D13" s="2" t="s">
        <v>268</v>
      </c>
      <c r="E13" s="3">
        <f>+380610786432</f>
        <v>380610786432</v>
      </c>
      <c r="F13" s="2" t="s">
        <v>269</v>
      </c>
    </row>
    <row r="14">
      <c r="A14" s="4">
        <v>13.0</v>
      </c>
      <c r="B14" s="2" t="s">
        <v>270</v>
      </c>
      <c r="C14" s="2" t="s">
        <v>230</v>
      </c>
      <c r="D14" s="2" t="s">
        <v>271</v>
      </c>
      <c r="E14" s="3">
        <f>+380529174496</f>
        <v>380529174496</v>
      </c>
      <c r="F14" s="2" t="s">
        <v>272</v>
      </c>
    </row>
    <row r="15">
      <c r="A15" s="4">
        <v>14.0</v>
      </c>
      <c r="B15" s="2" t="s">
        <v>273</v>
      </c>
      <c r="C15" s="2" t="s">
        <v>230</v>
      </c>
      <c r="D15" s="2" t="s">
        <v>274</v>
      </c>
      <c r="E15" s="3">
        <f>+380983750223</f>
        <v>380983750223</v>
      </c>
      <c r="F15" s="2" t="s">
        <v>275</v>
      </c>
    </row>
    <row r="16">
      <c r="A16" s="4">
        <v>15.0</v>
      </c>
      <c r="B16" s="2" t="s">
        <v>276</v>
      </c>
      <c r="C16" s="2" t="s">
        <v>248</v>
      </c>
      <c r="D16" s="2" t="s">
        <v>277</v>
      </c>
      <c r="E16" s="3">
        <f>+380695784504</f>
        <v>380695784504</v>
      </c>
      <c r="F16" s="2" t="s">
        <v>278</v>
      </c>
    </row>
    <row r="17">
      <c r="A17" s="4">
        <v>16.0</v>
      </c>
      <c r="B17" s="2" t="s">
        <v>279</v>
      </c>
      <c r="C17" s="2" t="s">
        <v>248</v>
      </c>
      <c r="D17" s="2" t="s">
        <v>280</v>
      </c>
      <c r="E17" s="3">
        <f>+380719504330</f>
        <v>380719504330</v>
      </c>
      <c r="F17" s="2" t="s">
        <v>281</v>
      </c>
    </row>
    <row r="18">
      <c r="A18" s="4">
        <v>17.0</v>
      </c>
      <c r="B18" s="2" t="s">
        <v>282</v>
      </c>
      <c r="C18" s="2" t="s">
        <v>230</v>
      </c>
      <c r="D18" s="2" t="s">
        <v>283</v>
      </c>
      <c r="E18" s="3">
        <f>+380509753214</f>
        <v>380509753214</v>
      </c>
      <c r="F18" s="2" t="s">
        <v>284</v>
      </c>
    </row>
    <row r="19">
      <c r="A19" s="4">
        <v>18.0</v>
      </c>
      <c r="B19" s="2" t="s">
        <v>285</v>
      </c>
      <c r="C19" s="2" t="s">
        <v>244</v>
      </c>
      <c r="D19" s="2" t="s">
        <v>286</v>
      </c>
      <c r="E19" s="3">
        <f>+380760433525</f>
        <v>380760433525</v>
      </c>
      <c r="F19" s="2" t="s">
        <v>287</v>
      </c>
    </row>
    <row r="20">
      <c r="A20" s="4">
        <v>19.0</v>
      </c>
      <c r="B20" s="2" t="s">
        <v>288</v>
      </c>
      <c r="C20" s="2" t="s">
        <v>230</v>
      </c>
      <c r="D20" s="2" t="s">
        <v>289</v>
      </c>
      <c r="E20" s="3">
        <f>+380686453291</f>
        <v>380686453291</v>
      </c>
      <c r="F20" s="2" t="s">
        <v>290</v>
      </c>
    </row>
    <row r="21">
      <c r="A21" s="4">
        <v>20.0</v>
      </c>
      <c r="B21" s="2" t="s">
        <v>291</v>
      </c>
      <c r="C21" s="2" t="s">
        <v>234</v>
      </c>
      <c r="D21" s="2" t="s">
        <v>292</v>
      </c>
      <c r="E21" s="3">
        <f>+380577367378</f>
        <v>380577367378</v>
      </c>
      <c r="F21" s="2" t="s">
        <v>293</v>
      </c>
    </row>
  </sheetData>
  <mergeCells count="20">
    <mergeCell ref="F2:G2"/>
    <mergeCell ref="F3:G3"/>
    <mergeCell ref="F4:G4"/>
    <mergeCell ref="F5:G5"/>
    <mergeCell ref="F6:G6"/>
    <mergeCell ref="F7:G7"/>
    <mergeCell ref="F8:G8"/>
    <mergeCell ref="F16:G16"/>
    <mergeCell ref="F17:G17"/>
    <mergeCell ref="F18:G18"/>
    <mergeCell ref="F19:G19"/>
    <mergeCell ref="F20:G20"/>
    <mergeCell ref="F21:G21"/>
    <mergeCell ref="F9:G9"/>
    <mergeCell ref="F10:G10"/>
    <mergeCell ref="F11:G11"/>
    <mergeCell ref="F12:G12"/>
    <mergeCell ref="F13:G13"/>
    <mergeCell ref="F14:G14"/>
    <mergeCell ref="F15:G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294</v>
      </c>
      <c r="B1" s="1" t="s">
        <v>295</v>
      </c>
      <c r="C1" s="1" t="s">
        <v>0</v>
      </c>
      <c r="D1" s="1" t="s">
        <v>223</v>
      </c>
      <c r="E1" s="1" t="s">
        <v>296</v>
      </c>
    </row>
    <row r="2">
      <c r="A2" s="2" t="s">
        <v>297</v>
      </c>
      <c r="B2" s="5">
        <v>45582.0</v>
      </c>
      <c r="C2" s="2" t="s">
        <v>125</v>
      </c>
      <c r="D2" s="4">
        <v>2.0</v>
      </c>
      <c r="E2" s="4">
        <v>58.0</v>
      </c>
    </row>
    <row r="3">
      <c r="A3" s="2" t="s">
        <v>298</v>
      </c>
      <c r="B3" s="5">
        <v>45443.0</v>
      </c>
      <c r="C3" s="2" t="s">
        <v>215</v>
      </c>
      <c r="D3" s="4">
        <v>12.0</v>
      </c>
      <c r="E3" s="4">
        <v>186.0</v>
      </c>
    </row>
    <row r="4">
      <c r="A4" s="2" t="s">
        <v>299</v>
      </c>
      <c r="B4" s="5">
        <v>45549.0</v>
      </c>
      <c r="C4" s="2" t="s">
        <v>169</v>
      </c>
      <c r="D4" s="4">
        <v>12.0</v>
      </c>
      <c r="E4" s="4">
        <v>246.0</v>
      </c>
    </row>
    <row r="5">
      <c r="A5" s="2" t="s">
        <v>300</v>
      </c>
      <c r="B5" s="5">
        <v>45428.0</v>
      </c>
      <c r="C5" s="2" t="s">
        <v>109</v>
      </c>
      <c r="D5" s="4">
        <v>10.0</v>
      </c>
      <c r="E5" s="4">
        <v>486.0</v>
      </c>
    </row>
    <row r="6">
      <c r="A6" s="2" t="s">
        <v>301</v>
      </c>
      <c r="B6" s="5">
        <v>45374.0</v>
      </c>
      <c r="C6" s="2" t="s">
        <v>52</v>
      </c>
      <c r="D6" s="4">
        <v>19.0</v>
      </c>
      <c r="E6" s="4">
        <v>40.0</v>
      </c>
    </row>
    <row r="7">
      <c r="A7" s="2" t="s">
        <v>302</v>
      </c>
      <c r="B7" s="5">
        <v>45387.0</v>
      </c>
      <c r="C7" s="2" t="s">
        <v>72</v>
      </c>
      <c r="D7" s="4">
        <v>20.0</v>
      </c>
      <c r="E7" s="4">
        <v>18.0</v>
      </c>
    </row>
    <row r="8">
      <c r="A8" s="2" t="s">
        <v>303</v>
      </c>
      <c r="B8" s="5">
        <v>45622.0</v>
      </c>
      <c r="C8" s="2" t="s">
        <v>179</v>
      </c>
      <c r="D8" s="4">
        <v>16.0</v>
      </c>
      <c r="E8" s="4">
        <v>120.0</v>
      </c>
    </row>
    <row r="9">
      <c r="A9" s="2" t="s">
        <v>304</v>
      </c>
      <c r="B9" s="5">
        <v>45499.0</v>
      </c>
      <c r="C9" s="2" t="s">
        <v>66</v>
      </c>
      <c r="D9" s="4">
        <v>3.0</v>
      </c>
      <c r="E9" s="4">
        <v>344.0</v>
      </c>
    </row>
    <row r="10">
      <c r="A10" s="2" t="s">
        <v>305</v>
      </c>
      <c r="B10" s="5">
        <v>45544.0</v>
      </c>
      <c r="C10" s="2" t="s">
        <v>221</v>
      </c>
      <c r="D10" s="4">
        <v>2.0</v>
      </c>
      <c r="E10" s="4">
        <v>369.0</v>
      </c>
    </row>
    <row r="11">
      <c r="A11" s="2" t="s">
        <v>306</v>
      </c>
      <c r="B11" s="5">
        <v>45380.0</v>
      </c>
      <c r="C11" s="2" t="s">
        <v>87</v>
      </c>
      <c r="D11" s="4">
        <v>16.0</v>
      </c>
      <c r="E11" s="4">
        <v>321.0</v>
      </c>
    </row>
    <row r="12">
      <c r="A12" s="2" t="s">
        <v>307</v>
      </c>
      <c r="B12" s="5">
        <v>45583.0</v>
      </c>
      <c r="C12" s="2" t="s">
        <v>43</v>
      </c>
      <c r="D12" s="4">
        <v>5.0</v>
      </c>
      <c r="E12" s="4">
        <v>286.0</v>
      </c>
    </row>
    <row r="13">
      <c r="A13" s="2" t="s">
        <v>308</v>
      </c>
      <c r="B13" s="5">
        <v>45555.0</v>
      </c>
      <c r="C13" s="2" t="s">
        <v>83</v>
      </c>
      <c r="D13" s="4">
        <v>15.0</v>
      </c>
      <c r="E13" s="4">
        <v>265.0</v>
      </c>
    </row>
    <row r="14">
      <c r="A14" s="2" t="s">
        <v>309</v>
      </c>
      <c r="B14" s="5">
        <v>45546.0</v>
      </c>
      <c r="C14" s="2" t="s">
        <v>143</v>
      </c>
      <c r="D14" s="4">
        <v>13.0</v>
      </c>
      <c r="E14" s="4">
        <v>479.0</v>
      </c>
    </row>
    <row r="15">
      <c r="A15" s="2" t="s">
        <v>310</v>
      </c>
      <c r="B15" s="5">
        <v>45308.0</v>
      </c>
      <c r="C15" s="2" t="s">
        <v>5</v>
      </c>
      <c r="D15" s="4">
        <v>3.0</v>
      </c>
      <c r="E15" s="4">
        <v>447.0</v>
      </c>
    </row>
    <row r="16">
      <c r="A16" s="2" t="s">
        <v>311</v>
      </c>
      <c r="B16" s="5">
        <v>45627.0</v>
      </c>
      <c r="C16" s="2" t="s">
        <v>159</v>
      </c>
      <c r="D16" s="4">
        <v>20.0</v>
      </c>
      <c r="E16" s="4">
        <v>23.0</v>
      </c>
    </row>
    <row r="17">
      <c r="A17" s="2" t="s">
        <v>312</v>
      </c>
      <c r="B17" s="5">
        <v>45631.0</v>
      </c>
      <c r="C17" s="2" t="s">
        <v>45</v>
      </c>
      <c r="D17" s="4">
        <v>12.0</v>
      </c>
      <c r="E17" s="4">
        <v>324.0</v>
      </c>
    </row>
    <row r="18">
      <c r="A18" s="2" t="s">
        <v>313</v>
      </c>
      <c r="B18" s="5">
        <v>45466.0</v>
      </c>
      <c r="C18" s="2" t="s">
        <v>217</v>
      </c>
      <c r="D18" s="4">
        <v>13.0</v>
      </c>
      <c r="E18" s="4">
        <v>106.0</v>
      </c>
    </row>
    <row r="19">
      <c r="A19" s="2" t="s">
        <v>314</v>
      </c>
      <c r="B19" s="5">
        <v>45594.0</v>
      </c>
      <c r="C19" s="2" t="s">
        <v>97</v>
      </c>
      <c r="D19" s="4">
        <v>7.0</v>
      </c>
      <c r="E19" s="4">
        <v>146.0</v>
      </c>
    </row>
    <row r="20">
      <c r="A20" s="2" t="s">
        <v>315</v>
      </c>
      <c r="B20" s="5">
        <v>45500.0</v>
      </c>
      <c r="C20" s="2" t="s">
        <v>147</v>
      </c>
      <c r="D20" s="4">
        <v>11.0</v>
      </c>
      <c r="E20" s="4">
        <v>14.0</v>
      </c>
    </row>
    <row r="21">
      <c r="A21" s="2" t="s">
        <v>316</v>
      </c>
      <c r="B21" s="5">
        <v>45303.0</v>
      </c>
      <c r="C21" s="2" t="s">
        <v>101</v>
      </c>
      <c r="D21" s="4">
        <v>11.0</v>
      </c>
      <c r="E21" s="4">
        <v>140.0</v>
      </c>
    </row>
    <row r="22">
      <c r="A22" s="2" t="s">
        <v>317</v>
      </c>
      <c r="B22" s="5">
        <v>45364.0</v>
      </c>
      <c r="C22" s="2" t="s">
        <v>179</v>
      </c>
      <c r="D22" s="4">
        <v>16.0</v>
      </c>
      <c r="E22" s="4">
        <v>279.0</v>
      </c>
    </row>
    <row r="23">
      <c r="A23" s="2" t="s">
        <v>318</v>
      </c>
      <c r="B23" s="5">
        <v>45349.0</v>
      </c>
      <c r="C23" s="2" t="s">
        <v>93</v>
      </c>
      <c r="D23" s="4">
        <v>12.0</v>
      </c>
      <c r="E23" s="4">
        <v>277.0</v>
      </c>
    </row>
    <row r="24">
      <c r="A24" s="2" t="s">
        <v>319</v>
      </c>
      <c r="B24" s="5">
        <v>45585.0</v>
      </c>
      <c r="C24" s="2" t="s">
        <v>147</v>
      </c>
      <c r="D24" s="4">
        <v>18.0</v>
      </c>
      <c r="E24" s="4">
        <v>91.0</v>
      </c>
    </row>
    <row r="25">
      <c r="A25" s="2" t="s">
        <v>320</v>
      </c>
      <c r="B25" s="5">
        <v>45488.0</v>
      </c>
      <c r="C25" s="2" t="s">
        <v>127</v>
      </c>
      <c r="D25" s="4">
        <v>17.0</v>
      </c>
      <c r="E25" s="4">
        <v>359.0</v>
      </c>
    </row>
    <row r="26">
      <c r="A26" s="2" t="s">
        <v>321</v>
      </c>
      <c r="B26" s="5">
        <v>45313.0</v>
      </c>
      <c r="C26" s="2" t="s">
        <v>221</v>
      </c>
      <c r="D26" s="4">
        <v>2.0</v>
      </c>
      <c r="E26" s="4">
        <v>423.0</v>
      </c>
    </row>
    <row r="27">
      <c r="A27" s="2" t="s">
        <v>322</v>
      </c>
      <c r="B27" s="5">
        <v>45378.0</v>
      </c>
      <c r="C27" s="2" t="s">
        <v>62</v>
      </c>
      <c r="D27" s="4">
        <v>16.0</v>
      </c>
      <c r="E27" s="4">
        <v>461.0</v>
      </c>
    </row>
    <row r="28">
      <c r="A28" s="2" t="s">
        <v>323</v>
      </c>
      <c r="B28" s="5">
        <v>45599.0</v>
      </c>
      <c r="C28" s="2" t="s">
        <v>183</v>
      </c>
      <c r="D28" s="4">
        <v>16.0</v>
      </c>
      <c r="E28" s="4">
        <v>78.0</v>
      </c>
    </row>
    <row r="29">
      <c r="A29" s="2" t="s">
        <v>324</v>
      </c>
      <c r="B29" s="5">
        <v>45452.0</v>
      </c>
      <c r="C29" s="2" t="s">
        <v>187</v>
      </c>
      <c r="D29" s="4">
        <v>20.0</v>
      </c>
      <c r="E29" s="4">
        <v>325.0</v>
      </c>
    </row>
    <row r="30">
      <c r="A30" s="2" t="s">
        <v>325</v>
      </c>
      <c r="B30" s="5">
        <v>45342.0</v>
      </c>
      <c r="C30" s="2" t="s">
        <v>207</v>
      </c>
      <c r="D30" s="4">
        <v>5.0</v>
      </c>
      <c r="E30" s="4">
        <v>392.0</v>
      </c>
    </row>
    <row r="31">
      <c r="A31" s="2" t="s">
        <v>326</v>
      </c>
      <c r="B31" s="5">
        <v>45299.0</v>
      </c>
      <c r="C31" s="2" t="s">
        <v>74</v>
      </c>
      <c r="D31" s="4">
        <v>8.0</v>
      </c>
      <c r="E31" s="4">
        <v>138.0</v>
      </c>
    </row>
    <row r="32">
      <c r="A32" s="2" t="s">
        <v>327</v>
      </c>
      <c r="B32" s="5">
        <v>45591.0</v>
      </c>
      <c r="C32" s="2" t="s">
        <v>187</v>
      </c>
      <c r="D32" s="4">
        <v>9.0</v>
      </c>
      <c r="E32" s="4">
        <v>79.0</v>
      </c>
    </row>
    <row r="33">
      <c r="A33" s="2" t="s">
        <v>328</v>
      </c>
      <c r="B33" s="5">
        <v>45607.0</v>
      </c>
      <c r="C33" s="2" t="s">
        <v>50</v>
      </c>
      <c r="D33" s="4">
        <v>15.0</v>
      </c>
      <c r="E33" s="4">
        <v>236.0</v>
      </c>
    </row>
    <row r="34">
      <c r="A34" s="2" t="s">
        <v>329</v>
      </c>
      <c r="B34" s="5">
        <v>45333.0</v>
      </c>
      <c r="C34" s="2" t="s">
        <v>52</v>
      </c>
      <c r="D34" s="4">
        <v>20.0</v>
      </c>
      <c r="E34" s="4">
        <v>495.0</v>
      </c>
    </row>
    <row r="35">
      <c r="A35" s="2" t="s">
        <v>330</v>
      </c>
      <c r="B35" s="5">
        <v>45352.0</v>
      </c>
      <c r="C35" s="2" t="s">
        <v>34</v>
      </c>
      <c r="D35" s="4">
        <v>2.0</v>
      </c>
      <c r="E35" s="4">
        <v>362.0</v>
      </c>
    </row>
    <row r="36">
      <c r="A36" s="2" t="s">
        <v>331</v>
      </c>
      <c r="B36" s="5">
        <v>45520.0</v>
      </c>
      <c r="C36" s="2" t="s">
        <v>145</v>
      </c>
      <c r="D36" s="4">
        <v>18.0</v>
      </c>
      <c r="E36" s="4">
        <v>479.0</v>
      </c>
    </row>
    <row r="37">
      <c r="A37" s="2" t="s">
        <v>332</v>
      </c>
      <c r="B37" s="5">
        <v>45311.0</v>
      </c>
      <c r="C37" s="2" t="s">
        <v>40</v>
      </c>
      <c r="D37" s="4">
        <v>10.0</v>
      </c>
      <c r="E37" s="4">
        <v>256.0</v>
      </c>
    </row>
    <row r="38">
      <c r="A38" s="2" t="s">
        <v>333</v>
      </c>
      <c r="B38" s="5">
        <v>45647.0</v>
      </c>
      <c r="C38" s="2" t="s">
        <v>31</v>
      </c>
      <c r="D38" s="4">
        <v>1.0</v>
      </c>
      <c r="E38" s="4">
        <v>390.0</v>
      </c>
    </row>
    <row r="39">
      <c r="A39" s="2" t="s">
        <v>334</v>
      </c>
      <c r="B39" s="5">
        <v>45310.0</v>
      </c>
      <c r="C39" s="2" t="s">
        <v>129</v>
      </c>
      <c r="D39" s="4">
        <v>13.0</v>
      </c>
      <c r="E39" s="4">
        <v>31.0</v>
      </c>
    </row>
    <row r="40">
      <c r="A40" s="2" t="s">
        <v>335</v>
      </c>
      <c r="B40" s="5">
        <v>45325.0</v>
      </c>
      <c r="C40" s="2" t="s">
        <v>85</v>
      </c>
      <c r="D40" s="4">
        <v>1.0</v>
      </c>
      <c r="E40" s="4">
        <v>286.0</v>
      </c>
    </row>
    <row r="41">
      <c r="A41" s="2" t="s">
        <v>336</v>
      </c>
      <c r="B41" s="5">
        <v>45485.0</v>
      </c>
      <c r="C41" s="2" t="s">
        <v>183</v>
      </c>
      <c r="D41" s="4">
        <v>3.0</v>
      </c>
      <c r="E41" s="4">
        <v>171.0</v>
      </c>
    </row>
    <row r="42">
      <c r="A42" s="2" t="s">
        <v>337</v>
      </c>
      <c r="B42" s="5">
        <v>45617.0</v>
      </c>
      <c r="C42" s="2" t="s">
        <v>203</v>
      </c>
      <c r="D42" s="4">
        <v>11.0</v>
      </c>
      <c r="E42" s="4">
        <v>29.0</v>
      </c>
    </row>
    <row r="43">
      <c r="A43" s="2" t="s">
        <v>338</v>
      </c>
      <c r="B43" s="5">
        <v>45474.0</v>
      </c>
      <c r="C43" s="2" t="s">
        <v>173</v>
      </c>
      <c r="D43" s="4">
        <v>1.0</v>
      </c>
      <c r="E43" s="4">
        <v>219.0</v>
      </c>
    </row>
    <row r="44">
      <c r="A44" s="2" t="s">
        <v>339</v>
      </c>
      <c r="B44" s="5">
        <v>45439.0</v>
      </c>
      <c r="C44" s="2" t="s">
        <v>119</v>
      </c>
      <c r="D44" s="4">
        <v>1.0</v>
      </c>
      <c r="E44" s="4">
        <v>335.0</v>
      </c>
    </row>
    <row r="45">
      <c r="A45" s="2" t="s">
        <v>340</v>
      </c>
      <c r="B45" s="5">
        <v>45559.0</v>
      </c>
      <c r="C45" s="2" t="s">
        <v>15</v>
      </c>
      <c r="D45" s="4">
        <v>7.0</v>
      </c>
      <c r="E45" s="4">
        <v>253.0</v>
      </c>
    </row>
    <row r="46">
      <c r="A46" s="2" t="s">
        <v>341</v>
      </c>
      <c r="B46" s="5">
        <v>45453.0</v>
      </c>
      <c r="C46" s="2" t="s">
        <v>74</v>
      </c>
      <c r="D46" s="4">
        <v>5.0</v>
      </c>
      <c r="E46" s="4">
        <v>477.0</v>
      </c>
    </row>
    <row r="47">
      <c r="A47" s="2" t="s">
        <v>342</v>
      </c>
      <c r="B47" s="5">
        <v>45608.0</v>
      </c>
      <c r="C47" s="2" t="s">
        <v>157</v>
      </c>
      <c r="D47" s="4">
        <v>20.0</v>
      </c>
      <c r="E47" s="4">
        <v>18.0</v>
      </c>
    </row>
    <row r="48">
      <c r="A48" s="2" t="s">
        <v>343</v>
      </c>
      <c r="B48" s="5">
        <v>45409.0</v>
      </c>
      <c r="C48" s="2" t="s">
        <v>127</v>
      </c>
      <c r="D48" s="4">
        <v>6.0</v>
      </c>
      <c r="E48" s="4">
        <v>297.0</v>
      </c>
    </row>
    <row r="49">
      <c r="A49" s="2" t="s">
        <v>344</v>
      </c>
      <c r="B49" s="5">
        <v>45645.0</v>
      </c>
      <c r="C49" s="2" t="s">
        <v>125</v>
      </c>
      <c r="D49" s="4">
        <v>3.0</v>
      </c>
      <c r="E49" s="4">
        <v>36.0</v>
      </c>
    </row>
    <row r="50">
      <c r="A50" s="2" t="s">
        <v>345</v>
      </c>
      <c r="B50" s="5">
        <v>45429.0</v>
      </c>
      <c r="C50" s="2" t="s">
        <v>127</v>
      </c>
      <c r="D50" s="4">
        <v>5.0</v>
      </c>
      <c r="E50" s="4">
        <v>38.0</v>
      </c>
    </row>
    <row r="51">
      <c r="A51" s="2" t="s">
        <v>346</v>
      </c>
      <c r="B51" s="5">
        <v>45426.0</v>
      </c>
      <c r="C51" s="2" t="s">
        <v>205</v>
      </c>
      <c r="D51" s="4">
        <v>11.0</v>
      </c>
      <c r="E51" s="4">
        <v>152.0</v>
      </c>
    </row>
    <row r="52">
      <c r="A52" s="2" t="s">
        <v>347</v>
      </c>
      <c r="B52" s="5">
        <v>45572.0</v>
      </c>
      <c r="C52" s="2" t="s">
        <v>109</v>
      </c>
      <c r="D52" s="4">
        <v>13.0</v>
      </c>
      <c r="E52" s="4">
        <v>208.0</v>
      </c>
    </row>
    <row r="53">
      <c r="A53" s="2" t="s">
        <v>348</v>
      </c>
      <c r="B53" s="5">
        <v>45350.0</v>
      </c>
      <c r="C53" s="2" t="s">
        <v>89</v>
      </c>
      <c r="D53" s="4">
        <v>11.0</v>
      </c>
      <c r="E53" s="4">
        <v>133.0</v>
      </c>
    </row>
    <row r="54">
      <c r="A54" s="2" t="s">
        <v>349</v>
      </c>
      <c r="B54" s="5">
        <v>45315.0</v>
      </c>
      <c r="C54" s="2" t="s">
        <v>129</v>
      </c>
      <c r="D54" s="4">
        <v>4.0</v>
      </c>
      <c r="E54" s="4">
        <v>185.0</v>
      </c>
    </row>
    <row r="55">
      <c r="A55" s="2" t="s">
        <v>350</v>
      </c>
      <c r="B55" s="5">
        <v>45585.0</v>
      </c>
      <c r="C55" s="2" t="s">
        <v>159</v>
      </c>
      <c r="D55" s="4">
        <v>10.0</v>
      </c>
      <c r="E55" s="4">
        <v>351.0</v>
      </c>
    </row>
    <row r="56">
      <c r="A56" s="2" t="s">
        <v>351</v>
      </c>
      <c r="B56" s="5">
        <v>45443.0</v>
      </c>
      <c r="C56" s="2" t="s">
        <v>22</v>
      </c>
      <c r="D56" s="4">
        <v>1.0</v>
      </c>
      <c r="E56" s="4">
        <v>387.0</v>
      </c>
    </row>
    <row r="57">
      <c r="A57" s="2" t="s">
        <v>352</v>
      </c>
      <c r="B57" s="5">
        <v>45509.0</v>
      </c>
      <c r="C57" s="2" t="s">
        <v>15</v>
      </c>
      <c r="D57" s="4">
        <v>10.0</v>
      </c>
      <c r="E57" s="4">
        <v>325.0</v>
      </c>
    </row>
    <row r="58">
      <c r="A58" s="2" t="s">
        <v>353</v>
      </c>
      <c r="B58" s="5">
        <v>45456.0</v>
      </c>
      <c r="C58" s="2" t="s">
        <v>183</v>
      </c>
      <c r="D58" s="4">
        <v>20.0</v>
      </c>
      <c r="E58" s="4">
        <v>283.0</v>
      </c>
    </row>
    <row r="59">
      <c r="A59" s="2" t="s">
        <v>354</v>
      </c>
      <c r="B59" s="5">
        <v>45324.0</v>
      </c>
      <c r="C59" s="2" t="s">
        <v>58</v>
      </c>
      <c r="D59" s="4">
        <v>5.0</v>
      </c>
      <c r="E59" s="4">
        <v>152.0</v>
      </c>
    </row>
    <row r="60">
      <c r="A60" s="2" t="s">
        <v>355</v>
      </c>
      <c r="B60" s="5">
        <v>45574.0</v>
      </c>
      <c r="C60" s="2" t="s">
        <v>99</v>
      </c>
      <c r="D60" s="4">
        <v>4.0</v>
      </c>
      <c r="E60" s="4">
        <v>344.0</v>
      </c>
    </row>
    <row r="61">
      <c r="A61" s="2" t="s">
        <v>356</v>
      </c>
      <c r="B61" s="5">
        <v>45478.0</v>
      </c>
      <c r="C61" s="2" t="s">
        <v>149</v>
      </c>
      <c r="D61" s="4">
        <v>18.0</v>
      </c>
      <c r="E61" s="4">
        <v>444.0</v>
      </c>
    </row>
    <row r="62">
      <c r="A62" s="2" t="s">
        <v>357</v>
      </c>
      <c r="B62" s="5">
        <v>45369.0</v>
      </c>
      <c r="C62" s="2" t="s">
        <v>50</v>
      </c>
      <c r="D62" s="4">
        <v>4.0</v>
      </c>
      <c r="E62" s="4">
        <v>48.0</v>
      </c>
    </row>
    <row r="63">
      <c r="A63" s="2" t="s">
        <v>358</v>
      </c>
      <c r="B63" s="5">
        <v>45596.0</v>
      </c>
      <c r="C63" s="2" t="s">
        <v>175</v>
      </c>
      <c r="D63" s="4">
        <v>8.0</v>
      </c>
      <c r="E63" s="4">
        <v>189.0</v>
      </c>
    </row>
    <row r="64">
      <c r="A64" s="2" t="s">
        <v>359</v>
      </c>
      <c r="B64" s="5">
        <v>45589.0</v>
      </c>
      <c r="C64" s="2" t="s">
        <v>199</v>
      </c>
      <c r="D64" s="4">
        <v>10.0</v>
      </c>
      <c r="E64" s="4">
        <v>14.0</v>
      </c>
    </row>
    <row r="65">
      <c r="A65" s="2" t="s">
        <v>360</v>
      </c>
      <c r="B65" s="5">
        <v>45393.0</v>
      </c>
      <c r="C65" s="2" t="s">
        <v>56</v>
      </c>
      <c r="D65" s="4">
        <v>10.0</v>
      </c>
      <c r="E65" s="4">
        <v>160.0</v>
      </c>
    </row>
    <row r="66">
      <c r="A66" s="2" t="s">
        <v>361</v>
      </c>
      <c r="B66" s="5">
        <v>45455.0</v>
      </c>
      <c r="C66" s="2" t="s">
        <v>64</v>
      </c>
      <c r="D66" s="4">
        <v>2.0</v>
      </c>
      <c r="E66" s="4">
        <v>227.0</v>
      </c>
    </row>
    <row r="67">
      <c r="A67" s="2" t="s">
        <v>362</v>
      </c>
      <c r="B67" s="5">
        <v>45615.0</v>
      </c>
      <c r="C67" s="2" t="s">
        <v>56</v>
      </c>
      <c r="D67" s="4">
        <v>16.0</v>
      </c>
      <c r="E67" s="4">
        <v>231.0</v>
      </c>
    </row>
    <row r="68">
      <c r="A68" s="2" t="s">
        <v>363</v>
      </c>
      <c r="B68" s="5">
        <v>45555.0</v>
      </c>
      <c r="C68" s="2" t="s">
        <v>161</v>
      </c>
      <c r="D68" s="4">
        <v>8.0</v>
      </c>
      <c r="E68" s="4">
        <v>228.0</v>
      </c>
    </row>
    <row r="69">
      <c r="A69" s="2" t="s">
        <v>364</v>
      </c>
      <c r="B69" s="5">
        <v>45496.0</v>
      </c>
      <c r="C69" s="2" t="s">
        <v>221</v>
      </c>
      <c r="D69" s="4">
        <v>3.0</v>
      </c>
      <c r="E69" s="4">
        <v>107.0</v>
      </c>
    </row>
    <row r="70">
      <c r="A70" s="2" t="s">
        <v>365</v>
      </c>
      <c r="B70" s="5">
        <v>45383.0</v>
      </c>
      <c r="C70" s="2" t="s">
        <v>197</v>
      </c>
      <c r="D70" s="4">
        <v>3.0</v>
      </c>
      <c r="E70" s="4">
        <v>432.0</v>
      </c>
    </row>
    <row r="71">
      <c r="A71" s="2" t="s">
        <v>366</v>
      </c>
      <c r="B71" s="5">
        <v>45513.0</v>
      </c>
      <c r="C71" s="2" t="s">
        <v>15</v>
      </c>
      <c r="D71" s="4">
        <v>16.0</v>
      </c>
      <c r="E71" s="4">
        <v>428.0</v>
      </c>
    </row>
    <row r="72">
      <c r="A72" s="2" t="s">
        <v>367</v>
      </c>
      <c r="B72" s="5">
        <v>45443.0</v>
      </c>
      <c r="C72" s="2" t="s">
        <v>70</v>
      </c>
      <c r="D72" s="4">
        <v>6.0</v>
      </c>
      <c r="E72" s="4">
        <v>67.0</v>
      </c>
    </row>
    <row r="73">
      <c r="A73" s="2" t="s">
        <v>368</v>
      </c>
      <c r="B73" s="5">
        <v>45435.0</v>
      </c>
      <c r="C73" s="2" t="s">
        <v>103</v>
      </c>
      <c r="D73" s="4">
        <v>19.0</v>
      </c>
      <c r="E73" s="4">
        <v>332.0</v>
      </c>
    </row>
    <row r="74">
      <c r="A74" s="2" t="s">
        <v>369</v>
      </c>
      <c r="B74" s="5">
        <v>45306.0</v>
      </c>
      <c r="C74" s="2" t="s">
        <v>167</v>
      </c>
      <c r="D74" s="4">
        <v>13.0</v>
      </c>
      <c r="E74" s="4">
        <v>383.0</v>
      </c>
    </row>
    <row r="75">
      <c r="A75" s="2" t="s">
        <v>370</v>
      </c>
      <c r="B75" s="5">
        <v>45342.0</v>
      </c>
      <c r="C75" s="2" t="s">
        <v>107</v>
      </c>
      <c r="D75" s="4">
        <v>4.0</v>
      </c>
      <c r="E75" s="4">
        <v>404.0</v>
      </c>
    </row>
    <row r="76">
      <c r="A76" s="2" t="s">
        <v>371</v>
      </c>
      <c r="B76" s="5">
        <v>45601.0</v>
      </c>
      <c r="C76" s="2" t="s">
        <v>127</v>
      </c>
      <c r="D76" s="4">
        <v>7.0</v>
      </c>
      <c r="E76" s="4">
        <v>252.0</v>
      </c>
    </row>
    <row r="77">
      <c r="A77" s="2" t="s">
        <v>372</v>
      </c>
      <c r="B77" s="5">
        <v>45567.0</v>
      </c>
      <c r="C77" s="2" t="s">
        <v>105</v>
      </c>
      <c r="D77" s="4">
        <v>15.0</v>
      </c>
      <c r="E77" s="4">
        <v>338.0</v>
      </c>
    </row>
    <row r="78">
      <c r="A78" s="2" t="s">
        <v>373</v>
      </c>
      <c r="B78" s="5">
        <v>45353.0</v>
      </c>
      <c r="C78" s="2" t="s">
        <v>193</v>
      </c>
      <c r="D78" s="4">
        <v>10.0</v>
      </c>
      <c r="E78" s="4">
        <v>57.0</v>
      </c>
    </row>
    <row r="79">
      <c r="A79" s="2" t="s">
        <v>374</v>
      </c>
      <c r="B79" s="5">
        <v>45413.0</v>
      </c>
      <c r="C79" s="2" t="s">
        <v>99</v>
      </c>
      <c r="D79" s="4">
        <v>14.0</v>
      </c>
      <c r="E79" s="4">
        <v>51.0</v>
      </c>
    </row>
    <row r="80">
      <c r="A80" s="2" t="s">
        <v>375</v>
      </c>
      <c r="B80" s="5">
        <v>45481.0</v>
      </c>
      <c r="C80" s="2" t="s">
        <v>83</v>
      </c>
      <c r="D80" s="4">
        <v>8.0</v>
      </c>
      <c r="E80" s="4">
        <v>486.0</v>
      </c>
    </row>
    <row r="81">
      <c r="A81" s="2" t="s">
        <v>376</v>
      </c>
      <c r="B81" s="5">
        <v>45467.0</v>
      </c>
      <c r="C81" s="2" t="s">
        <v>203</v>
      </c>
      <c r="D81" s="4">
        <v>15.0</v>
      </c>
      <c r="E81" s="4">
        <v>344.0</v>
      </c>
    </row>
    <row r="82">
      <c r="A82" s="2" t="s">
        <v>377</v>
      </c>
      <c r="B82" s="5">
        <v>45395.0</v>
      </c>
      <c r="C82" s="2" t="s">
        <v>72</v>
      </c>
      <c r="D82" s="4">
        <v>12.0</v>
      </c>
      <c r="E82" s="4">
        <v>43.0</v>
      </c>
    </row>
    <row r="83">
      <c r="A83" s="2" t="s">
        <v>378</v>
      </c>
      <c r="B83" s="5">
        <v>45616.0</v>
      </c>
      <c r="C83" s="2" t="s">
        <v>109</v>
      </c>
      <c r="D83" s="4">
        <v>6.0</v>
      </c>
      <c r="E83" s="4">
        <v>455.0</v>
      </c>
    </row>
    <row r="84">
      <c r="A84" s="2" t="s">
        <v>379</v>
      </c>
      <c r="B84" s="5">
        <v>45618.0</v>
      </c>
      <c r="C84" s="2" t="s">
        <v>107</v>
      </c>
      <c r="D84" s="4">
        <v>16.0</v>
      </c>
      <c r="E84" s="4">
        <v>326.0</v>
      </c>
    </row>
    <row r="85">
      <c r="A85" s="2" t="s">
        <v>380</v>
      </c>
      <c r="B85" s="5">
        <v>45324.0</v>
      </c>
      <c r="C85" s="2" t="s">
        <v>143</v>
      </c>
      <c r="D85" s="4">
        <v>3.0</v>
      </c>
      <c r="E85" s="4">
        <v>332.0</v>
      </c>
    </row>
    <row r="86">
      <c r="A86" s="2" t="s">
        <v>381</v>
      </c>
      <c r="B86" s="5">
        <v>45357.0</v>
      </c>
      <c r="C86" s="2" t="s">
        <v>143</v>
      </c>
      <c r="D86" s="4">
        <v>1.0</v>
      </c>
      <c r="E86" s="4">
        <v>142.0</v>
      </c>
    </row>
    <row r="87">
      <c r="A87" s="2" t="s">
        <v>382</v>
      </c>
      <c r="B87" s="5">
        <v>45530.0</v>
      </c>
      <c r="C87" s="2" t="s">
        <v>141</v>
      </c>
      <c r="D87" s="4">
        <v>11.0</v>
      </c>
      <c r="E87" s="4">
        <v>62.0</v>
      </c>
    </row>
    <row r="88">
      <c r="A88" s="2" t="s">
        <v>383</v>
      </c>
      <c r="B88" s="5">
        <v>45613.0</v>
      </c>
      <c r="C88" s="2" t="s">
        <v>187</v>
      </c>
      <c r="D88" s="4">
        <v>9.0</v>
      </c>
      <c r="E88" s="4">
        <v>366.0</v>
      </c>
    </row>
    <row r="89">
      <c r="A89" s="2" t="s">
        <v>384</v>
      </c>
      <c r="B89" s="5">
        <v>45464.0</v>
      </c>
      <c r="C89" s="2" t="s">
        <v>163</v>
      </c>
      <c r="D89" s="4">
        <v>9.0</v>
      </c>
      <c r="E89" s="4">
        <v>214.0</v>
      </c>
    </row>
    <row r="90">
      <c r="A90" s="2" t="s">
        <v>385</v>
      </c>
      <c r="B90" s="5">
        <v>45437.0</v>
      </c>
      <c r="C90" s="2" t="s">
        <v>85</v>
      </c>
      <c r="D90" s="4">
        <v>19.0</v>
      </c>
      <c r="E90" s="4">
        <v>215.0</v>
      </c>
    </row>
    <row r="91">
      <c r="A91" s="2" t="s">
        <v>386</v>
      </c>
      <c r="B91" s="5">
        <v>45531.0</v>
      </c>
      <c r="C91" s="2" t="s">
        <v>215</v>
      </c>
      <c r="D91" s="4">
        <v>19.0</v>
      </c>
      <c r="E91" s="4">
        <v>84.0</v>
      </c>
    </row>
    <row r="92">
      <c r="A92" s="2" t="s">
        <v>387</v>
      </c>
      <c r="B92" s="5">
        <v>45355.0</v>
      </c>
      <c r="C92" s="2" t="s">
        <v>187</v>
      </c>
      <c r="D92" s="4">
        <v>9.0</v>
      </c>
      <c r="E92" s="4">
        <v>439.0</v>
      </c>
    </row>
    <row r="93">
      <c r="A93" s="2" t="s">
        <v>388</v>
      </c>
      <c r="B93" s="5">
        <v>45646.0</v>
      </c>
      <c r="C93" s="2" t="s">
        <v>203</v>
      </c>
      <c r="D93" s="4">
        <v>16.0</v>
      </c>
      <c r="E93" s="4">
        <v>466.0</v>
      </c>
    </row>
    <row r="94">
      <c r="A94" s="2" t="s">
        <v>389</v>
      </c>
      <c r="B94" s="5">
        <v>45639.0</v>
      </c>
      <c r="C94" s="2" t="s">
        <v>40</v>
      </c>
      <c r="D94" s="4">
        <v>18.0</v>
      </c>
      <c r="E94" s="4">
        <v>328.0</v>
      </c>
    </row>
    <row r="95">
      <c r="A95" s="2" t="s">
        <v>390</v>
      </c>
      <c r="B95" s="5">
        <v>45485.0</v>
      </c>
      <c r="C95" s="2" t="s">
        <v>121</v>
      </c>
      <c r="D95" s="4">
        <v>18.0</v>
      </c>
      <c r="E95" s="4">
        <v>414.0</v>
      </c>
    </row>
    <row r="96">
      <c r="A96" s="2" t="s">
        <v>391</v>
      </c>
      <c r="B96" s="5">
        <v>45581.0</v>
      </c>
      <c r="C96" s="2" t="s">
        <v>163</v>
      </c>
      <c r="D96" s="4">
        <v>15.0</v>
      </c>
      <c r="E96" s="4">
        <v>278.0</v>
      </c>
    </row>
    <row r="97">
      <c r="A97" s="2" t="s">
        <v>392</v>
      </c>
      <c r="B97" s="5">
        <v>45515.0</v>
      </c>
      <c r="C97" s="2" t="s">
        <v>34</v>
      </c>
      <c r="D97" s="4">
        <v>7.0</v>
      </c>
      <c r="E97" s="4">
        <v>122.0</v>
      </c>
    </row>
    <row r="98">
      <c r="A98" s="2" t="s">
        <v>393</v>
      </c>
      <c r="B98" s="5">
        <v>45453.0</v>
      </c>
      <c r="C98" s="2" t="s">
        <v>167</v>
      </c>
      <c r="D98" s="4">
        <v>15.0</v>
      </c>
      <c r="E98" s="4">
        <v>478.0</v>
      </c>
    </row>
    <row r="99">
      <c r="A99" s="2" t="s">
        <v>394</v>
      </c>
      <c r="B99" s="5">
        <v>45583.0</v>
      </c>
      <c r="C99" s="2" t="s">
        <v>50</v>
      </c>
      <c r="D99" s="4">
        <v>11.0</v>
      </c>
      <c r="E99" s="4">
        <v>145.0</v>
      </c>
    </row>
    <row r="100">
      <c r="A100" s="2" t="s">
        <v>395</v>
      </c>
      <c r="B100" s="5">
        <v>45420.0</v>
      </c>
      <c r="C100" s="2" t="s">
        <v>147</v>
      </c>
      <c r="D100" s="4">
        <v>4.0</v>
      </c>
      <c r="E100" s="4">
        <v>106.0</v>
      </c>
    </row>
    <row r="101">
      <c r="A101" s="2" t="s">
        <v>396</v>
      </c>
      <c r="B101" s="5">
        <v>45412.0</v>
      </c>
      <c r="C101" s="2" t="s">
        <v>81</v>
      </c>
      <c r="D101" s="4">
        <v>20.0</v>
      </c>
      <c r="E101" s="4">
        <v>390.0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223</v>
      </c>
      <c r="C1" s="1" t="s">
        <v>397</v>
      </c>
      <c r="D1" s="1" t="s">
        <v>398</v>
      </c>
    </row>
    <row r="2">
      <c r="A2" s="2" t="s">
        <v>151</v>
      </c>
      <c r="B2" s="4">
        <v>19.0</v>
      </c>
      <c r="C2" s="4">
        <v>469.0</v>
      </c>
      <c r="D2" s="5">
        <v>45387.0</v>
      </c>
    </row>
    <row r="3">
      <c r="A3" s="2" t="s">
        <v>211</v>
      </c>
      <c r="B3" s="4">
        <v>15.0</v>
      </c>
      <c r="C3" s="4">
        <v>543.0</v>
      </c>
      <c r="D3" s="5">
        <v>45625.0</v>
      </c>
    </row>
    <row r="4">
      <c r="A4" s="2" t="s">
        <v>137</v>
      </c>
      <c r="B4" s="4">
        <v>4.0</v>
      </c>
      <c r="C4" s="4">
        <v>256.0</v>
      </c>
      <c r="D4" s="5">
        <v>45355.0</v>
      </c>
    </row>
    <row r="5">
      <c r="A5" s="2" t="s">
        <v>37</v>
      </c>
      <c r="B5" s="4">
        <v>20.0</v>
      </c>
      <c r="C5" s="4">
        <v>867.0</v>
      </c>
      <c r="D5" s="5">
        <v>45543.0</v>
      </c>
    </row>
    <row r="6">
      <c r="A6" s="2" t="s">
        <v>151</v>
      </c>
      <c r="B6" s="4">
        <v>16.0</v>
      </c>
      <c r="C6" s="4">
        <v>535.0</v>
      </c>
      <c r="D6" s="5">
        <v>45364.0</v>
      </c>
    </row>
    <row r="7">
      <c r="A7" s="2" t="s">
        <v>111</v>
      </c>
      <c r="B7" s="4">
        <v>4.0</v>
      </c>
      <c r="C7" s="4">
        <v>107.0</v>
      </c>
      <c r="D7" s="5">
        <v>45473.0</v>
      </c>
    </row>
    <row r="8">
      <c r="A8" s="2" t="s">
        <v>62</v>
      </c>
      <c r="B8" s="4">
        <v>3.0</v>
      </c>
      <c r="C8" s="4">
        <v>349.0</v>
      </c>
      <c r="D8" s="5">
        <v>45529.0</v>
      </c>
    </row>
    <row r="9">
      <c r="A9" s="2" t="s">
        <v>145</v>
      </c>
      <c r="B9" s="4">
        <v>17.0</v>
      </c>
      <c r="C9" s="4">
        <v>647.0</v>
      </c>
      <c r="D9" s="5">
        <v>45314.0</v>
      </c>
    </row>
    <row r="10">
      <c r="A10" s="2" t="s">
        <v>64</v>
      </c>
      <c r="B10" s="4">
        <v>5.0</v>
      </c>
      <c r="C10" s="4">
        <v>240.0</v>
      </c>
      <c r="D10" s="5">
        <v>45620.0</v>
      </c>
    </row>
    <row r="11">
      <c r="A11" s="2" t="s">
        <v>26</v>
      </c>
      <c r="B11" s="4">
        <v>9.0</v>
      </c>
      <c r="C11" s="4">
        <v>893.0</v>
      </c>
      <c r="D11" s="5">
        <v>45632.0</v>
      </c>
    </row>
    <row r="12">
      <c r="A12" s="2" t="s">
        <v>89</v>
      </c>
      <c r="B12" s="4">
        <v>8.0</v>
      </c>
      <c r="C12" s="4">
        <v>210.0</v>
      </c>
      <c r="D12" s="5">
        <v>45641.0</v>
      </c>
    </row>
    <row r="13">
      <c r="A13" s="2" t="s">
        <v>54</v>
      </c>
      <c r="B13" s="4">
        <v>11.0</v>
      </c>
      <c r="C13" s="4">
        <v>533.0</v>
      </c>
      <c r="D13" s="5">
        <v>45353.0</v>
      </c>
    </row>
    <row r="14">
      <c r="A14" s="2" t="s">
        <v>151</v>
      </c>
      <c r="B14" s="4">
        <v>12.0</v>
      </c>
      <c r="C14" s="4">
        <v>907.0</v>
      </c>
      <c r="D14" s="5">
        <v>45474.0</v>
      </c>
    </row>
    <row r="15">
      <c r="A15" s="2" t="s">
        <v>189</v>
      </c>
      <c r="B15" s="4">
        <v>9.0</v>
      </c>
      <c r="C15" s="4">
        <v>826.0</v>
      </c>
      <c r="D15" s="5">
        <v>45526.0</v>
      </c>
    </row>
    <row r="16">
      <c r="A16" s="2" t="s">
        <v>91</v>
      </c>
      <c r="B16" s="4">
        <v>16.0</v>
      </c>
      <c r="C16" s="4">
        <v>991.0</v>
      </c>
      <c r="D16" s="5">
        <v>45427.0</v>
      </c>
    </row>
    <row r="17">
      <c r="A17" s="2" t="s">
        <v>161</v>
      </c>
      <c r="B17" s="4">
        <v>10.0</v>
      </c>
      <c r="C17" s="4">
        <v>491.0</v>
      </c>
      <c r="D17" s="5">
        <v>45435.0</v>
      </c>
    </row>
    <row r="18">
      <c r="A18" s="2" t="s">
        <v>97</v>
      </c>
      <c r="B18" s="4">
        <v>10.0</v>
      </c>
      <c r="C18" s="4">
        <v>793.0</v>
      </c>
      <c r="D18" s="5">
        <v>45485.0</v>
      </c>
    </row>
    <row r="19">
      <c r="A19" s="2" t="s">
        <v>70</v>
      </c>
      <c r="B19" s="4">
        <v>8.0</v>
      </c>
      <c r="C19" s="4">
        <v>211.0</v>
      </c>
      <c r="D19" s="5">
        <v>45308.0</v>
      </c>
    </row>
    <row r="20">
      <c r="A20" s="2" t="s">
        <v>213</v>
      </c>
      <c r="B20" s="4">
        <v>13.0</v>
      </c>
      <c r="C20" s="4">
        <v>357.0</v>
      </c>
      <c r="D20" s="5">
        <v>45406.0</v>
      </c>
    </row>
    <row r="21">
      <c r="A21" s="2" t="s">
        <v>191</v>
      </c>
      <c r="B21" s="4">
        <v>19.0</v>
      </c>
      <c r="C21" s="4">
        <v>795.0</v>
      </c>
      <c r="D21" s="5">
        <v>45573.0</v>
      </c>
    </row>
    <row r="22">
      <c r="A22" s="2" t="s">
        <v>129</v>
      </c>
      <c r="B22" s="4">
        <v>4.0</v>
      </c>
      <c r="C22" s="4">
        <v>248.0</v>
      </c>
      <c r="D22" s="5">
        <v>45637.0</v>
      </c>
    </row>
    <row r="23">
      <c r="A23" s="2" t="s">
        <v>149</v>
      </c>
      <c r="B23" s="4">
        <v>13.0</v>
      </c>
      <c r="C23" s="4">
        <v>415.0</v>
      </c>
      <c r="D23" s="5">
        <v>45501.0</v>
      </c>
    </row>
    <row r="24">
      <c r="A24" s="2" t="s">
        <v>179</v>
      </c>
      <c r="B24" s="4">
        <v>20.0</v>
      </c>
      <c r="C24" s="4">
        <v>936.0</v>
      </c>
      <c r="D24" s="5">
        <v>45429.0</v>
      </c>
    </row>
    <row r="25">
      <c r="A25" s="2" t="s">
        <v>29</v>
      </c>
      <c r="B25" s="4">
        <v>11.0</v>
      </c>
      <c r="C25" s="4">
        <v>801.0</v>
      </c>
      <c r="D25" s="5">
        <v>45517.0</v>
      </c>
    </row>
    <row r="26">
      <c r="A26" s="2" t="s">
        <v>22</v>
      </c>
      <c r="B26" s="4">
        <v>13.0</v>
      </c>
      <c r="C26" s="4">
        <v>365.0</v>
      </c>
      <c r="D26" s="5">
        <v>45296.0</v>
      </c>
    </row>
    <row r="27">
      <c r="A27" s="2" t="s">
        <v>193</v>
      </c>
      <c r="B27" s="4">
        <v>12.0</v>
      </c>
      <c r="C27" s="4">
        <v>473.0</v>
      </c>
      <c r="D27" s="5">
        <v>45348.0</v>
      </c>
    </row>
    <row r="28">
      <c r="A28" s="2" t="s">
        <v>54</v>
      </c>
      <c r="B28" s="4">
        <v>18.0</v>
      </c>
      <c r="C28" s="4">
        <v>653.0</v>
      </c>
      <c r="D28" s="5">
        <v>45610.0</v>
      </c>
    </row>
    <row r="29">
      <c r="A29" s="2" t="s">
        <v>76</v>
      </c>
      <c r="B29" s="4">
        <v>18.0</v>
      </c>
      <c r="C29" s="4">
        <v>896.0</v>
      </c>
      <c r="D29" s="5">
        <v>45548.0</v>
      </c>
    </row>
    <row r="30">
      <c r="A30" s="2" t="s">
        <v>125</v>
      </c>
      <c r="B30" s="4">
        <v>6.0</v>
      </c>
      <c r="C30" s="4">
        <v>586.0</v>
      </c>
      <c r="D30" s="5">
        <v>45530.0</v>
      </c>
    </row>
    <row r="31">
      <c r="A31" s="2" t="s">
        <v>179</v>
      </c>
      <c r="B31" s="4">
        <v>1.0</v>
      </c>
      <c r="C31" s="4">
        <v>532.0</v>
      </c>
      <c r="D31" s="5">
        <v>45559.0</v>
      </c>
    </row>
    <row r="32">
      <c r="A32" s="2" t="s">
        <v>169</v>
      </c>
      <c r="B32" s="4">
        <v>12.0</v>
      </c>
      <c r="C32" s="4">
        <v>94.0</v>
      </c>
      <c r="D32" s="5">
        <v>45417.0</v>
      </c>
    </row>
    <row r="33">
      <c r="A33" s="2" t="s">
        <v>205</v>
      </c>
      <c r="B33" s="4">
        <v>11.0</v>
      </c>
      <c r="C33" s="4">
        <v>909.0</v>
      </c>
      <c r="D33" s="5">
        <v>45412.0</v>
      </c>
    </row>
    <row r="34">
      <c r="A34" s="2" t="s">
        <v>179</v>
      </c>
      <c r="B34" s="4">
        <v>13.0</v>
      </c>
      <c r="C34" s="4">
        <v>935.0</v>
      </c>
      <c r="D34" s="5">
        <v>45392.0</v>
      </c>
    </row>
    <row r="35">
      <c r="A35" s="2" t="s">
        <v>127</v>
      </c>
      <c r="B35" s="4">
        <v>19.0</v>
      </c>
      <c r="C35" s="4">
        <v>491.0</v>
      </c>
      <c r="D35" s="5">
        <v>45425.0</v>
      </c>
    </row>
    <row r="36">
      <c r="A36" s="2" t="s">
        <v>157</v>
      </c>
      <c r="B36" s="4">
        <v>2.0</v>
      </c>
      <c r="C36" s="4">
        <v>578.0</v>
      </c>
      <c r="D36" s="5">
        <v>45576.0</v>
      </c>
    </row>
    <row r="37">
      <c r="A37" s="2" t="s">
        <v>149</v>
      </c>
      <c r="B37" s="4">
        <v>20.0</v>
      </c>
      <c r="C37" s="4">
        <v>149.0</v>
      </c>
      <c r="D37" s="5">
        <v>45329.0</v>
      </c>
    </row>
    <row r="38">
      <c r="A38" s="2" t="s">
        <v>85</v>
      </c>
      <c r="B38" s="4">
        <v>20.0</v>
      </c>
      <c r="C38" s="4">
        <v>458.0</v>
      </c>
      <c r="D38" s="5">
        <v>45636.0</v>
      </c>
    </row>
    <row r="39">
      <c r="A39" s="2" t="s">
        <v>125</v>
      </c>
      <c r="B39" s="4">
        <v>6.0</v>
      </c>
      <c r="C39" s="4">
        <v>129.0</v>
      </c>
      <c r="D39" s="5">
        <v>45546.0</v>
      </c>
    </row>
    <row r="40">
      <c r="A40" s="2" t="s">
        <v>52</v>
      </c>
      <c r="B40" s="4">
        <v>10.0</v>
      </c>
      <c r="C40" s="4">
        <v>777.0</v>
      </c>
      <c r="D40" s="5">
        <v>45517.0</v>
      </c>
    </row>
    <row r="41">
      <c r="A41" s="2" t="s">
        <v>66</v>
      </c>
      <c r="B41" s="4">
        <v>8.0</v>
      </c>
      <c r="C41" s="4">
        <v>442.0</v>
      </c>
      <c r="D41" s="5">
        <v>45348.0</v>
      </c>
    </row>
    <row r="42">
      <c r="A42" s="2" t="s">
        <v>175</v>
      </c>
      <c r="B42" s="4">
        <v>3.0</v>
      </c>
      <c r="C42" s="4">
        <v>28.0</v>
      </c>
      <c r="D42" s="5">
        <v>45380.0</v>
      </c>
    </row>
    <row r="43">
      <c r="A43" s="2" t="s">
        <v>131</v>
      </c>
      <c r="B43" s="4">
        <v>18.0</v>
      </c>
      <c r="C43" s="4">
        <v>660.0</v>
      </c>
      <c r="D43" s="5">
        <v>45547.0</v>
      </c>
    </row>
    <row r="44">
      <c r="A44" s="2" t="s">
        <v>165</v>
      </c>
      <c r="B44" s="4">
        <v>9.0</v>
      </c>
      <c r="C44" s="4">
        <v>492.0</v>
      </c>
      <c r="D44" s="5">
        <v>45301.0</v>
      </c>
    </row>
    <row r="45">
      <c r="A45" s="2" t="s">
        <v>177</v>
      </c>
      <c r="B45" s="4">
        <v>9.0</v>
      </c>
      <c r="C45" s="4">
        <v>858.0</v>
      </c>
      <c r="D45" s="5">
        <v>45544.0</v>
      </c>
    </row>
    <row r="46">
      <c r="A46" s="2" t="s">
        <v>199</v>
      </c>
      <c r="B46" s="4">
        <v>13.0</v>
      </c>
      <c r="C46" s="4">
        <v>669.0</v>
      </c>
      <c r="D46" s="5">
        <v>45446.0</v>
      </c>
    </row>
    <row r="47">
      <c r="A47" s="2" t="s">
        <v>85</v>
      </c>
      <c r="B47" s="4">
        <v>2.0</v>
      </c>
      <c r="C47" s="4">
        <v>179.0</v>
      </c>
      <c r="D47" s="5">
        <v>45573.0</v>
      </c>
    </row>
    <row r="48">
      <c r="A48" s="2" t="s">
        <v>125</v>
      </c>
      <c r="B48" s="4">
        <v>19.0</v>
      </c>
      <c r="C48" s="4">
        <v>619.0</v>
      </c>
      <c r="D48" s="5">
        <v>45610.0</v>
      </c>
    </row>
    <row r="49">
      <c r="A49" s="2" t="s">
        <v>91</v>
      </c>
      <c r="B49" s="4">
        <v>5.0</v>
      </c>
      <c r="C49" s="4">
        <v>36.0</v>
      </c>
      <c r="D49" s="5">
        <v>45390.0</v>
      </c>
    </row>
    <row r="50">
      <c r="A50" s="2" t="s">
        <v>34</v>
      </c>
      <c r="B50" s="4">
        <v>4.0</v>
      </c>
      <c r="C50" s="4">
        <v>461.0</v>
      </c>
      <c r="D50" s="5">
        <v>45381.0</v>
      </c>
    </row>
    <row r="51">
      <c r="A51" s="2" t="s">
        <v>76</v>
      </c>
      <c r="B51" s="4">
        <v>1.0</v>
      </c>
      <c r="C51" s="4">
        <v>781.0</v>
      </c>
      <c r="D51" s="5">
        <v>45614.0</v>
      </c>
    </row>
    <row r="52">
      <c r="A52" s="2" t="s">
        <v>109</v>
      </c>
      <c r="B52" s="4">
        <v>4.0</v>
      </c>
      <c r="C52" s="4">
        <v>433.0</v>
      </c>
      <c r="D52" s="5">
        <v>45502.0</v>
      </c>
    </row>
    <row r="53">
      <c r="A53" s="2" t="s">
        <v>22</v>
      </c>
      <c r="B53" s="4">
        <v>10.0</v>
      </c>
      <c r="C53" s="4">
        <v>519.0</v>
      </c>
      <c r="D53" s="5">
        <v>45404.0</v>
      </c>
    </row>
    <row r="54">
      <c r="A54" s="2" t="s">
        <v>70</v>
      </c>
      <c r="B54" s="4">
        <v>11.0</v>
      </c>
      <c r="C54" s="4">
        <v>331.0</v>
      </c>
      <c r="D54" s="5">
        <v>45643.0</v>
      </c>
    </row>
    <row r="55">
      <c r="A55" s="2" t="s">
        <v>171</v>
      </c>
      <c r="B55" s="4">
        <v>11.0</v>
      </c>
      <c r="C55" s="4">
        <v>101.0</v>
      </c>
      <c r="D55" s="5">
        <v>45477.0</v>
      </c>
    </row>
    <row r="56">
      <c r="A56" s="2" t="s">
        <v>78</v>
      </c>
      <c r="B56" s="4">
        <v>15.0</v>
      </c>
      <c r="C56" s="4">
        <v>347.0</v>
      </c>
      <c r="D56" s="5">
        <v>45515.0</v>
      </c>
    </row>
    <row r="57">
      <c r="A57" s="2" t="s">
        <v>155</v>
      </c>
      <c r="B57" s="4">
        <v>7.0</v>
      </c>
      <c r="C57" s="4">
        <v>863.0</v>
      </c>
      <c r="D57" s="5">
        <v>45394.0</v>
      </c>
    </row>
    <row r="58">
      <c r="A58" s="2" t="s">
        <v>137</v>
      </c>
      <c r="B58" s="4">
        <v>9.0</v>
      </c>
      <c r="C58" s="4">
        <v>18.0</v>
      </c>
      <c r="D58" s="5">
        <v>45309.0</v>
      </c>
    </row>
    <row r="59">
      <c r="A59" s="2" t="s">
        <v>50</v>
      </c>
      <c r="B59" s="4">
        <v>11.0</v>
      </c>
      <c r="C59" s="4">
        <v>544.0</v>
      </c>
      <c r="D59" s="5">
        <v>45615.0</v>
      </c>
    </row>
    <row r="60">
      <c r="A60" s="2" t="s">
        <v>85</v>
      </c>
      <c r="B60" s="4">
        <v>12.0</v>
      </c>
      <c r="C60" s="4">
        <v>562.0</v>
      </c>
      <c r="D60" s="5">
        <v>45510.0</v>
      </c>
    </row>
    <row r="61">
      <c r="A61" s="2" t="s">
        <v>133</v>
      </c>
      <c r="B61" s="4">
        <v>6.0</v>
      </c>
      <c r="C61" s="4">
        <v>901.0</v>
      </c>
      <c r="D61" s="5">
        <v>45323.0</v>
      </c>
    </row>
    <row r="62">
      <c r="A62" s="2" t="s">
        <v>195</v>
      </c>
      <c r="B62" s="4">
        <v>12.0</v>
      </c>
      <c r="C62" s="4">
        <v>372.0</v>
      </c>
      <c r="D62" s="5">
        <v>45489.0</v>
      </c>
    </row>
    <row r="63">
      <c r="A63" s="2" t="s">
        <v>131</v>
      </c>
      <c r="B63" s="4">
        <v>20.0</v>
      </c>
      <c r="C63" s="4">
        <v>864.0</v>
      </c>
      <c r="D63" s="5">
        <v>45656.0</v>
      </c>
    </row>
    <row r="64">
      <c r="A64" s="2" t="s">
        <v>43</v>
      </c>
      <c r="B64" s="4">
        <v>5.0</v>
      </c>
      <c r="C64" s="4">
        <v>227.0</v>
      </c>
      <c r="D64" s="5">
        <v>45327.0</v>
      </c>
    </row>
    <row r="65">
      <c r="A65" s="2" t="s">
        <v>167</v>
      </c>
      <c r="B65" s="4">
        <v>1.0</v>
      </c>
      <c r="C65" s="4">
        <v>460.0</v>
      </c>
      <c r="D65" s="5">
        <v>45303.0</v>
      </c>
    </row>
    <row r="66">
      <c r="A66" s="2" t="s">
        <v>50</v>
      </c>
      <c r="B66" s="4">
        <v>7.0</v>
      </c>
      <c r="C66" s="4">
        <v>66.0</v>
      </c>
      <c r="D66" s="5">
        <v>45653.0</v>
      </c>
    </row>
    <row r="67">
      <c r="A67" s="2" t="s">
        <v>197</v>
      </c>
      <c r="B67" s="4">
        <v>10.0</v>
      </c>
      <c r="C67" s="4">
        <v>411.0</v>
      </c>
      <c r="D67" s="5">
        <v>45332.0</v>
      </c>
    </row>
    <row r="68">
      <c r="A68" s="2" t="s">
        <v>105</v>
      </c>
      <c r="B68" s="4">
        <v>14.0</v>
      </c>
      <c r="C68" s="4">
        <v>925.0</v>
      </c>
      <c r="D68" s="5">
        <v>45398.0</v>
      </c>
    </row>
    <row r="69">
      <c r="A69" s="2" t="s">
        <v>219</v>
      </c>
      <c r="B69" s="4">
        <v>19.0</v>
      </c>
      <c r="C69" s="4">
        <v>9.0</v>
      </c>
      <c r="D69" s="5">
        <v>45649.0</v>
      </c>
    </row>
    <row r="70">
      <c r="A70" s="2" t="s">
        <v>109</v>
      </c>
      <c r="B70" s="4">
        <v>2.0</v>
      </c>
      <c r="C70" s="4">
        <v>772.0</v>
      </c>
      <c r="D70" s="5">
        <v>45360.0</v>
      </c>
    </row>
    <row r="71">
      <c r="A71" s="2" t="s">
        <v>167</v>
      </c>
      <c r="B71" s="4">
        <v>7.0</v>
      </c>
      <c r="C71" s="4">
        <v>571.0</v>
      </c>
      <c r="D71" s="5">
        <v>45570.0</v>
      </c>
    </row>
    <row r="72">
      <c r="A72" s="2" t="s">
        <v>109</v>
      </c>
      <c r="B72" s="4">
        <v>16.0</v>
      </c>
      <c r="C72" s="4">
        <v>717.0</v>
      </c>
      <c r="D72" s="5">
        <v>45310.0</v>
      </c>
    </row>
    <row r="73">
      <c r="A73" s="2" t="s">
        <v>37</v>
      </c>
      <c r="B73" s="4">
        <v>16.0</v>
      </c>
      <c r="C73" s="4">
        <v>912.0</v>
      </c>
      <c r="D73" s="5">
        <v>45366.0</v>
      </c>
    </row>
    <row r="74">
      <c r="A74" s="2" t="s">
        <v>179</v>
      </c>
      <c r="B74" s="4">
        <v>7.0</v>
      </c>
      <c r="C74" s="4">
        <v>696.0</v>
      </c>
      <c r="D74" s="5">
        <v>45416.0</v>
      </c>
    </row>
    <row r="75">
      <c r="A75" s="2" t="s">
        <v>181</v>
      </c>
      <c r="B75" s="4">
        <v>4.0</v>
      </c>
      <c r="C75" s="4">
        <v>662.0</v>
      </c>
      <c r="D75" s="5">
        <v>45487.0</v>
      </c>
    </row>
    <row r="76">
      <c r="A76" s="2" t="s">
        <v>171</v>
      </c>
      <c r="B76" s="4">
        <v>12.0</v>
      </c>
      <c r="C76" s="4">
        <v>444.0</v>
      </c>
      <c r="D76" s="5">
        <v>45655.0</v>
      </c>
    </row>
    <row r="77">
      <c r="A77" s="2" t="s">
        <v>171</v>
      </c>
      <c r="B77" s="4">
        <v>6.0</v>
      </c>
      <c r="C77" s="4">
        <v>192.0</v>
      </c>
      <c r="D77" s="5">
        <v>45496.0</v>
      </c>
    </row>
    <row r="78">
      <c r="A78" s="2" t="s">
        <v>139</v>
      </c>
      <c r="B78" s="4">
        <v>1.0</v>
      </c>
      <c r="C78" s="4">
        <v>174.0</v>
      </c>
      <c r="D78" s="5">
        <v>45548.0</v>
      </c>
    </row>
    <row r="79">
      <c r="A79" s="2" t="s">
        <v>54</v>
      </c>
      <c r="B79" s="4">
        <v>16.0</v>
      </c>
      <c r="C79" s="4">
        <v>648.0</v>
      </c>
      <c r="D79" s="5">
        <v>45508.0</v>
      </c>
    </row>
    <row r="80">
      <c r="A80" s="2" t="s">
        <v>43</v>
      </c>
      <c r="B80" s="4">
        <v>13.0</v>
      </c>
      <c r="C80" s="4">
        <v>540.0</v>
      </c>
      <c r="D80" s="5">
        <v>45559.0</v>
      </c>
    </row>
    <row r="81">
      <c r="A81" s="2" t="s">
        <v>54</v>
      </c>
      <c r="B81" s="4">
        <v>17.0</v>
      </c>
      <c r="C81" s="4">
        <v>521.0</v>
      </c>
      <c r="D81" s="5">
        <v>45516.0</v>
      </c>
    </row>
    <row r="82">
      <c r="A82" s="2" t="s">
        <v>89</v>
      </c>
      <c r="B82" s="4">
        <v>2.0</v>
      </c>
      <c r="C82" s="4">
        <v>678.0</v>
      </c>
      <c r="D82" s="5">
        <v>45590.0</v>
      </c>
    </row>
    <row r="83">
      <c r="A83" s="2" t="s">
        <v>129</v>
      </c>
      <c r="B83" s="4">
        <v>14.0</v>
      </c>
      <c r="C83" s="4">
        <v>96.0</v>
      </c>
      <c r="D83" s="5">
        <v>45507.0</v>
      </c>
    </row>
    <row r="84">
      <c r="A84" s="2" t="s">
        <v>129</v>
      </c>
      <c r="B84" s="4">
        <v>6.0</v>
      </c>
      <c r="C84" s="4">
        <v>352.0</v>
      </c>
      <c r="D84" s="5">
        <v>45313.0</v>
      </c>
    </row>
    <row r="85">
      <c r="A85" s="2" t="s">
        <v>165</v>
      </c>
      <c r="B85" s="4">
        <v>6.0</v>
      </c>
      <c r="C85" s="4">
        <v>265.0</v>
      </c>
      <c r="D85" s="5">
        <v>45540.0</v>
      </c>
    </row>
    <row r="86">
      <c r="A86" s="2" t="s">
        <v>50</v>
      </c>
      <c r="B86" s="4">
        <v>17.0</v>
      </c>
      <c r="C86" s="4">
        <v>180.0</v>
      </c>
      <c r="D86" s="5">
        <v>45406.0</v>
      </c>
    </row>
    <row r="87">
      <c r="A87" s="2" t="s">
        <v>165</v>
      </c>
      <c r="B87" s="4">
        <v>12.0</v>
      </c>
      <c r="C87" s="4">
        <v>224.0</v>
      </c>
      <c r="D87" s="5">
        <v>45356.0</v>
      </c>
    </row>
    <row r="88">
      <c r="A88" s="2" t="s">
        <v>70</v>
      </c>
      <c r="B88" s="4">
        <v>8.0</v>
      </c>
      <c r="C88" s="4">
        <v>133.0</v>
      </c>
      <c r="D88" s="5">
        <v>45320.0</v>
      </c>
    </row>
    <row r="89">
      <c r="A89" s="2" t="s">
        <v>72</v>
      </c>
      <c r="B89" s="4">
        <v>18.0</v>
      </c>
      <c r="C89" s="4">
        <v>710.0</v>
      </c>
      <c r="D89" s="5">
        <v>45535.0</v>
      </c>
    </row>
    <row r="90">
      <c r="A90" s="2" t="s">
        <v>173</v>
      </c>
      <c r="B90" s="4">
        <v>12.0</v>
      </c>
      <c r="C90" s="4">
        <v>170.0</v>
      </c>
      <c r="D90" s="5">
        <v>45540.0</v>
      </c>
    </row>
    <row r="91">
      <c r="A91" s="2" t="s">
        <v>179</v>
      </c>
      <c r="B91" s="4">
        <v>8.0</v>
      </c>
      <c r="C91" s="4">
        <v>316.0</v>
      </c>
      <c r="D91" s="5">
        <v>45311.0</v>
      </c>
    </row>
    <row r="92">
      <c r="A92" s="2" t="s">
        <v>70</v>
      </c>
      <c r="B92" s="4">
        <v>2.0</v>
      </c>
      <c r="C92" s="4">
        <v>873.0</v>
      </c>
      <c r="D92" s="5">
        <v>45567.0</v>
      </c>
    </row>
    <row r="93">
      <c r="A93" s="2" t="s">
        <v>161</v>
      </c>
      <c r="B93" s="4">
        <v>12.0</v>
      </c>
      <c r="C93" s="4">
        <v>666.0</v>
      </c>
      <c r="D93" s="5">
        <v>45405.0</v>
      </c>
    </row>
    <row r="94">
      <c r="A94" s="2" t="s">
        <v>76</v>
      </c>
      <c r="B94" s="4">
        <v>13.0</v>
      </c>
      <c r="C94" s="4">
        <v>944.0</v>
      </c>
      <c r="D94" s="5">
        <v>45523.0</v>
      </c>
    </row>
    <row r="95">
      <c r="A95" s="2" t="s">
        <v>5</v>
      </c>
      <c r="B95" s="4">
        <v>5.0</v>
      </c>
      <c r="C95" s="4">
        <v>951.0</v>
      </c>
      <c r="D95" s="5">
        <v>45522.0</v>
      </c>
    </row>
    <row r="96">
      <c r="A96" s="2" t="s">
        <v>167</v>
      </c>
      <c r="B96" s="4">
        <v>17.0</v>
      </c>
      <c r="C96" s="4">
        <v>111.0</v>
      </c>
      <c r="D96" s="5">
        <v>45581.0</v>
      </c>
    </row>
    <row r="97">
      <c r="A97" s="2" t="s">
        <v>135</v>
      </c>
      <c r="B97" s="4">
        <v>4.0</v>
      </c>
      <c r="C97" s="4">
        <v>310.0</v>
      </c>
      <c r="D97" s="5">
        <v>45431.0</v>
      </c>
    </row>
    <row r="98">
      <c r="A98" s="2" t="s">
        <v>103</v>
      </c>
      <c r="B98" s="4">
        <v>7.0</v>
      </c>
      <c r="C98" s="4">
        <v>696.0</v>
      </c>
      <c r="D98" s="5">
        <v>45599.0</v>
      </c>
    </row>
    <row r="99">
      <c r="A99" s="2" t="s">
        <v>43</v>
      </c>
      <c r="B99" s="4">
        <v>8.0</v>
      </c>
      <c r="C99" s="4">
        <v>568.0</v>
      </c>
      <c r="D99" s="5">
        <v>45490.0</v>
      </c>
    </row>
    <row r="100">
      <c r="A100" s="2" t="s">
        <v>26</v>
      </c>
      <c r="B100" s="4">
        <v>9.0</v>
      </c>
      <c r="C100" s="4">
        <v>646.0</v>
      </c>
      <c r="D100" s="5">
        <v>45604.0</v>
      </c>
    </row>
    <row r="101">
      <c r="A101" s="2" t="s">
        <v>40</v>
      </c>
      <c r="B101" s="4">
        <v>13.0</v>
      </c>
      <c r="C101" s="4">
        <v>159.0</v>
      </c>
      <c r="D101" s="5">
        <v>45555.0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399</v>
      </c>
      <c r="B1" s="1" t="s">
        <v>0</v>
      </c>
      <c r="C1" s="1" t="s">
        <v>223</v>
      </c>
      <c r="D1" s="1" t="s">
        <v>400</v>
      </c>
      <c r="E1" s="1" t="s">
        <v>401</v>
      </c>
      <c r="F1" s="1" t="s">
        <v>402</v>
      </c>
    </row>
    <row r="2">
      <c r="A2" s="2" t="s">
        <v>403</v>
      </c>
      <c r="B2" s="2" t="s">
        <v>159</v>
      </c>
      <c r="C2" s="4">
        <v>9.0</v>
      </c>
      <c r="D2" s="5">
        <v>45427.0</v>
      </c>
      <c r="E2" s="5">
        <v>45385.0</v>
      </c>
      <c r="F2" s="2" t="s">
        <v>404</v>
      </c>
    </row>
    <row r="3">
      <c r="A3" s="2" t="s">
        <v>405</v>
      </c>
      <c r="B3" s="2" t="s">
        <v>70</v>
      </c>
      <c r="C3" s="4">
        <v>1.0</v>
      </c>
      <c r="D3" s="5">
        <v>45305.0</v>
      </c>
      <c r="E3" s="5">
        <v>45578.0</v>
      </c>
      <c r="F3" s="2" t="s">
        <v>406</v>
      </c>
    </row>
    <row r="4">
      <c r="A4" s="2" t="s">
        <v>407</v>
      </c>
      <c r="B4" s="2" t="s">
        <v>105</v>
      </c>
      <c r="C4" s="4">
        <v>5.0</v>
      </c>
      <c r="D4" s="5">
        <v>45488.0</v>
      </c>
      <c r="E4" s="5">
        <v>45374.0</v>
      </c>
      <c r="F4" s="2" t="s">
        <v>404</v>
      </c>
    </row>
    <row r="5">
      <c r="A5" s="2" t="s">
        <v>408</v>
      </c>
      <c r="B5" s="2" t="s">
        <v>91</v>
      </c>
      <c r="C5" s="4">
        <v>19.0</v>
      </c>
      <c r="D5" s="5">
        <v>45455.0</v>
      </c>
      <c r="E5" s="5">
        <v>45627.0</v>
      </c>
      <c r="F5" s="2" t="s">
        <v>404</v>
      </c>
    </row>
    <row r="6">
      <c r="A6" s="2" t="s">
        <v>409</v>
      </c>
      <c r="B6" s="2" t="s">
        <v>83</v>
      </c>
      <c r="C6" s="4">
        <v>6.0</v>
      </c>
      <c r="D6" s="5">
        <v>45459.0</v>
      </c>
      <c r="E6" s="5">
        <v>45518.0</v>
      </c>
      <c r="F6" s="2" t="s">
        <v>404</v>
      </c>
    </row>
    <row r="7">
      <c r="A7" s="2" t="s">
        <v>410</v>
      </c>
      <c r="B7" s="2" t="s">
        <v>215</v>
      </c>
      <c r="C7" s="4">
        <v>2.0</v>
      </c>
      <c r="D7" s="5">
        <v>45411.0</v>
      </c>
      <c r="E7" s="5">
        <v>45367.0</v>
      </c>
      <c r="F7" s="2" t="s">
        <v>404</v>
      </c>
    </row>
    <row r="8">
      <c r="A8" s="2" t="s">
        <v>411</v>
      </c>
      <c r="B8" s="2" t="s">
        <v>197</v>
      </c>
      <c r="C8" s="4">
        <v>11.0</v>
      </c>
      <c r="D8" s="5">
        <v>45639.0</v>
      </c>
      <c r="E8" s="5">
        <v>45634.0</v>
      </c>
      <c r="F8" s="2" t="s">
        <v>406</v>
      </c>
    </row>
    <row r="9">
      <c r="A9" s="2" t="s">
        <v>412</v>
      </c>
      <c r="B9" s="2" t="s">
        <v>163</v>
      </c>
      <c r="C9" s="4">
        <v>20.0</v>
      </c>
      <c r="D9" s="5">
        <v>45582.0</v>
      </c>
      <c r="E9" s="5">
        <v>45368.0</v>
      </c>
      <c r="F9" s="2" t="s">
        <v>413</v>
      </c>
    </row>
    <row r="10">
      <c r="A10" s="2" t="s">
        <v>414</v>
      </c>
      <c r="B10" s="2" t="s">
        <v>167</v>
      </c>
      <c r="C10" s="4">
        <v>18.0</v>
      </c>
      <c r="D10" s="5">
        <v>45335.0</v>
      </c>
      <c r="E10" s="5">
        <v>45303.0</v>
      </c>
      <c r="F10" s="2" t="s">
        <v>413</v>
      </c>
    </row>
    <row r="11">
      <c r="A11" s="2" t="s">
        <v>415</v>
      </c>
      <c r="B11" s="2" t="s">
        <v>115</v>
      </c>
      <c r="C11" s="4">
        <v>11.0</v>
      </c>
      <c r="D11" s="5">
        <v>45456.0</v>
      </c>
      <c r="E11" s="5">
        <v>45635.0</v>
      </c>
      <c r="F11" s="2" t="s">
        <v>406</v>
      </c>
    </row>
    <row r="12">
      <c r="A12" s="2" t="s">
        <v>416</v>
      </c>
      <c r="B12" s="2" t="s">
        <v>66</v>
      </c>
      <c r="C12" s="4">
        <v>19.0</v>
      </c>
      <c r="D12" s="5">
        <v>45450.0</v>
      </c>
      <c r="E12" s="5">
        <v>45585.0</v>
      </c>
      <c r="F12" s="2" t="s">
        <v>406</v>
      </c>
    </row>
    <row r="13">
      <c r="A13" s="2" t="s">
        <v>417</v>
      </c>
      <c r="B13" s="2" t="s">
        <v>213</v>
      </c>
      <c r="C13" s="4">
        <v>1.0</v>
      </c>
      <c r="D13" s="5">
        <v>45557.0</v>
      </c>
      <c r="E13" s="5">
        <v>45376.0</v>
      </c>
      <c r="F13" s="2" t="s">
        <v>404</v>
      </c>
    </row>
    <row r="14">
      <c r="A14" s="2" t="s">
        <v>418</v>
      </c>
      <c r="B14" s="2" t="s">
        <v>85</v>
      </c>
      <c r="C14" s="4">
        <v>4.0</v>
      </c>
      <c r="D14" s="5">
        <v>45487.0</v>
      </c>
      <c r="E14" s="5">
        <v>45295.0</v>
      </c>
      <c r="F14" s="2" t="s">
        <v>404</v>
      </c>
    </row>
    <row r="15">
      <c r="A15" s="2" t="s">
        <v>419</v>
      </c>
      <c r="B15" s="2" t="s">
        <v>66</v>
      </c>
      <c r="C15" s="4">
        <v>18.0</v>
      </c>
      <c r="D15" s="5">
        <v>45451.0</v>
      </c>
      <c r="E15" s="5">
        <v>45535.0</v>
      </c>
      <c r="F15" s="2" t="s">
        <v>404</v>
      </c>
    </row>
    <row r="16">
      <c r="A16" s="2" t="s">
        <v>420</v>
      </c>
      <c r="B16" s="2" t="s">
        <v>60</v>
      </c>
      <c r="C16" s="4">
        <v>18.0</v>
      </c>
      <c r="D16" s="5">
        <v>45574.0</v>
      </c>
      <c r="E16" s="5">
        <v>45350.0</v>
      </c>
      <c r="F16" s="2" t="s">
        <v>404</v>
      </c>
    </row>
    <row r="17">
      <c r="A17" s="2" t="s">
        <v>421</v>
      </c>
      <c r="B17" s="2" t="s">
        <v>31</v>
      </c>
      <c r="C17" s="4">
        <v>13.0</v>
      </c>
      <c r="D17" s="5">
        <v>45494.0</v>
      </c>
      <c r="E17" s="5">
        <v>45418.0</v>
      </c>
      <c r="F17" s="2" t="s">
        <v>406</v>
      </c>
    </row>
    <row r="18">
      <c r="A18" s="2" t="s">
        <v>422</v>
      </c>
      <c r="B18" s="2" t="s">
        <v>159</v>
      </c>
      <c r="C18" s="4">
        <v>9.0</v>
      </c>
      <c r="D18" s="5">
        <v>45423.0</v>
      </c>
      <c r="E18" s="5">
        <v>45301.0</v>
      </c>
      <c r="F18" s="2" t="s">
        <v>413</v>
      </c>
    </row>
    <row r="19">
      <c r="A19" s="2" t="s">
        <v>423</v>
      </c>
      <c r="B19" s="2" t="s">
        <v>211</v>
      </c>
      <c r="C19" s="4">
        <v>13.0</v>
      </c>
      <c r="D19" s="5">
        <v>45617.0</v>
      </c>
      <c r="E19" s="5">
        <v>45426.0</v>
      </c>
      <c r="F19" s="2" t="s">
        <v>406</v>
      </c>
    </row>
    <row r="20">
      <c r="A20" s="2" t="s">
        <v>424</v>
      </c>
      <c r="B20" s="2" t="s">
        <v>89</v>
      </c>
      <c r="C20" s="4">
        <v>7.0</v>
      </c>
      <c r="D20" s="5">
        <v>45646.0</v>
      </c>
      <c r="E20" s="5">
        <v>45338.0</v>
      </c>
      <c r="F20" s="2" t="s">
        <v>404</v>
      </c>
    </row>
    <row r="21">
      <c r="A21" s="2" t="s">
        <v>425</v>
      </c>
      <c r="B21" s="2" t="s">
        <v>221</v>
      </c>
      <c r="C21" s="4">
        <v>2.0</v>
      </c>
      <c r="D21" s="5">
        <v>45603.0</v>
      </c>
      <c r="E21" s="5">
        <v>45395.0</v>
      </c>
      <c r="F21" s="2" t="s">
        <v>404</v>
      </c>
    </row>
    <row r="22">
      <c r="A22" s="2" t="s">
        <v>426</v>
      </c>
      <c r="B22" s="2" t="s">
        <v>111</v>
      </c>
      <c r="C22" s="4">
        <v>9.0</v>
      </c>
      <c r="D22" s="5">
        <v>45350.0</v>
      </c>
      <c r="E22" s="5">
        <v>45587.0</v>
      </c>
      <c r="F22" s="2" t="s">
        <v>406</v>
      </c>
    </row>
    <row r="23">
      <c r="A23" s="2" t="s">
        <v>427</v>
      </c>
      <c r="B23" s="2" t="s">
        <v>211</v>
      </c>
      <c r="C23" s="4">
        <v>13.0</v>
      </c>
      <c r="D23" s="5">
        <v>45359.0</v>
      </c>
      <c r="E23" s="5">
        <v>45420.0</v>
      </c>
      <c r="F23" s="2" t="s">
        <v>404</v>
      </c>
    </row>
    <row r="24">
      <c r="A24" s="2" t="s">
        <v>428</v>
      </c>
      <c r="B24" s="2" t="s">
        <v>175</v>
      </c>
      <c r="C24" s="4">
        <v>9.0</v>
      </c>
      <c r="D24" s="5">
        <v>45560.0</v>
      </c>
      <c r="E24" s="5">
        <v>45476.0</v>
      </c>
      <c r="F24" s="2" t="s">
        <v>406</v>
      </c>
    </row>
    <row r="25">
      <c r="A25" s="2" t="s">
        <v>429</v>
      </c>
      <c r="B25" s="2" t="s">
        <v>70</v>
      </c>
      <c r="C25" s="4">
        <v>16.0</v>
      </c>
      <c r="D25" s="5">
        <v>45323.0</v>
      </c>
      <c r="E25" s="5">
        <v>45309.0</v>
      </c>
      <c r="F25" s="2" t="s">
        <v>406</v>
      </c>
    </row>
    <row r="26">
      <c r="A26" s="2" t="s">
        <v>430</v>
      </c>
      <c r="B26" s="2" t="s">
        <v>177</v>
      </c>
      <c r="C26" s="4">
        <v>14.0</v>
      </c>
      <c r="D26" s="5">
        <v>45386.0</v>
      </c>
      <c r="E26" s="5">
        <v>45610.0</v>
      </c>
      <c r="F26" s="2" t="s">
        <v>406</v>
      </c>
    </row>
    <row r="27">
      <c r="A27" s="2" t="s">
        <v>431</v>
      </c>
      <c r="B27" s="2" t="s">
        <v>107</v>
      </c>
      <c r="C27" s="4">
        <v>20.0</v>
      </c>
      <c r="D27" s="5">
        <v>45317.0</v>
      </c>
      <c r="E27" s="5">
        <v>45536.0</v>
      </c>
      <c r="F27" s="2" t="s">
        <v>413</v>
      </c>
    </row>
    <row r="28">
      <c r="A28" s="2" t="s">
        <v>432</v>
      </c>
      <c r="B28" s="2" t="s">
        <v>95</v>
      </c>
      <c r="C28" s="4">
        <v>6.0</v>
      </c>
      <c r="D28" s="5">
        <v>45468.0</v>
      </c>
      <c r="E28" s="5">
        <v>45589.0</v>
      </c>
      <c r="F28" s="2" t="s">
        <v>404</v>
      </c>
    </row>
    <row r="29">
      <c r="A29" s="2" t="s">
        <v>433</v>
      </c>
      <c r="B29" s="2" t="s">
        <v>147</v>
      </c>
      <c r="C29" s="4">
        <v>14.0</v>
      </c>
      <c r="D29" s="5">
        <v>45407.0</v>
      </c>
      <c r="E29" s="5">
        <v>45556.0</v>
      </c>
      <c r="F29" s="2" t="s">
        <v>406</v>
      </c>
    </row>
    <row r="30">
      <c r="A30" s="2" t="s">
        <v>434</v>
      </c>
      <c r="B30" s="2" t="s">
        <v>131</v>
      </c>
      <c r="C30" s="4">
        <v>18.0</v>
      </c>
      <c r="D30" s="5">
        <v>45403.0</v>
      </c>
      <c r="E30" s="5">
        <v>45302.0</v>
      </c>
      <c r="F30" s="2" t="s">
        <v>404</v>
      </c>
    </row>
    <row r="31">
      <c r="A31" s="2" t="s">
        <v>435</v>
      </c>
      <c r="B31" s="2" t="s">
        <v>34</v>
      </c>
      <c r="C31" s="4">
        <v>7.0</v>
      </c>
      <c r="D31" s="5">
        <v>45530.0</v>
      </c>
      <c r="E31" s="5">
        <v>45472.0</v>
      </c>
      <c r="F31" s="2" t="s">
        <v>413</v>
      </c>
    </row>
    <row r="32">
      <c r="A32" s="2" t="s">
        <v>436</v>
      </c>
      <c r="B32" s="2" t="s">
        <v>153</v>
      </c>
      <c r="C32" s="4">
        <v>15.0</v>
      </c>
      <c r="D32" s="5">
        <v>45526.0</v>
      </c>
      <c r="E32" s="5">
        <v>45495.0</v>
      </c>
      <c r="F32" s="2" t="s">
        <v>413</v>
      </c>
    </row>
    <row r="33">
      <c r="A33" s="2" t="s">
        <v>437</v>
      </c>
      <c r="B33" s="2" t="s">
        <v>62</v>
      </c>
      <c r="C33" s="4">
        <v>2.0</v>
      </c>
      <c r="D33" s="5">
        <v>45409.0</v>
      </c>
      <c r="E33" s="5">
        <v>45396.0</v>
      </c>
      <c r="F33" s="2" t="s">
        <v>404</v>
      </c>
    </row>
    <row r="34">
      <c r="A34" s="2" t="s">
        <v>438</v>
      </c>
      <c r="B34" s="2" t="s">
        <v>127</v>
      </c>
      <c r="C34" s="4">
        <v>7.0</v>
      </c>
      <c r="D34" s="5">
        <v>45355.0</v>
      </c>
      <c r="E34" s="5">
        <v>45508.0</v>
      </c>
      <c r="F34" s="2" t="s">
        <v>413</v>
      </c>
    </row>
    <row r="35">
      <c r="A35" s="2" t="s">
        <v>439</v>
      </c>
      <c r="B35" s="2" t="s">
        <v>169</v>
      </c>
      <c r="C35" s="4">
        <v>14.0</v>
      </c>
      <c r="D35" s="5">
        <v>45652.0</v>
      </c>
      <c r="E35" s="5">
        <v>45610.0</v>
      </c>
      <c r="F35" s="2" t="s">
        <v>406</v>
      </c>
    </row>
    <row r="36">
      <c r="A36" s="2" t="s">
        <v>440</v>
      </c>
      <c r="B36" s="2" t="s">
        <v>76</v>
      </c>
      <c r="C36" s="4">
        <v>9.0</v>
      </c>
      <c r="D36" s="5">
        <v>45617.0</v>
      </c>
      <c r="E36" s="5">
        <v>45574.0</v>
      </c>
      <c r="F36" s="2" t="s">
        <v>404</v>
      </c>
    </row>
    <row r="37">
      <c r="A37" s="2" t="s">
        <v>441</v>
      </c>
      <c r="B37" s="2" t="s">
        <v>191</v>
      </c>
      <c r="C37" s="4">
        <v>14.0</v>
      </c>
      <c r="D37" s="5">
        <v>45632.0</v>
      </c>
      <c r="E37" s="5">
        <v>45441.0</v>
      </c>
      <c r="F37" s="2" t="s">
        <v>413</v>
      </c>
    </row>
    <row r="38">
      <c r="A38" s="2" t="s">
        <v>442</v>
      </c>
      <c r="B38" s="2" t="s">
        <v>127</v>
      </c>
      <c r="C38" s="4">
        <v>19.0</v>
      </c>
      <c r="D38" s="5">
        <v>45344.0</v>
      </c>
      <c r="E38" s="5">
        <v>45479.0</v>
      </c>
      <c r="F38" s="2" t="s">
        <v>404</v>
      </c>
    </row>
    <row r="39">
      <c r="A39" s="2" t="s">
        <v>443</v>
      </c>
      <c r="B39" s="2" t="s">
        <v>123</v>
      </c>
      <c r="C39" s="4">
        <v>20.0</v>
      </c>
      <c r="D39" s="5">
        <v>45322.0</v>
      </c>
      <c r="E39" s="5">
        <v>45439.0</v>
      </c>
      <c r="F39" s="2" t="s">
        <v>406</v>
      </c>
    </row>
    <row r="40">
      <c r="A40" s="2" t="s">
        <v>444</v>
      </c>
      <c r="B40" s="2" t="s">
        <v>143</v>
      </c>
      <c r="C40" s="4">
        <v>5.0</v>
      </c>
      <c r="D40" s="5">
        <v>45506.0</v>
      </c>
      <c r="E40" s="5">
        <v>45302.0</v>
      </c>
      <c r="F40" s="2" t="s">
        <v>406</v>
      </c>
    </row>
    <row r="41">
      <c r="A41" s="2" t="s">
        <v>445</v>
      </c>
      <c r="B41" s="2" t="s">
        <v>29</v>
      </c>
      <c r="C41" s="4">
        <v>1.0</v>
      </c>
      <c r="D41" s="5">
        <v>45413.0</v>
      </c>
      <c r="E41" s="5">
        <v>45391.0</v>
      </c>
      <c r="F41" s="2" t="s">
        <v>404</v>
      </c>
    </row>
    <row r="42">
      <c r="A42" s="2" t="s">
        <v>446</v>
      </c>
      <c r="B42" s="2" t="s">
        <v>22</v>
      </c>
      <c r="C42" s="4">
        <v>3.0</v>
      </c>
      <c r="D42" s="5">
        <v>45556.0</v>
      </c>
      <c r="E42" s="5">
        <v>45613.0</v>
      </c>
      <c r="F42" s="2" t="s">
        <v>413</v>
      </c>
    </row>
    <row r="43">
      <c r="A43" s="2" t="s">
        <v>447</v>
      </c>
      <c r="B43" s="2" t="s">
        <v>87</v>
      </c>
      <c r="C43" s="4">
        <v>4.0</v>
      </c>
      <c r="D43" s="5">
        <v>45602.0</v>
      </c>
      <c r="E43" s="5">
        <v>45523.0</v>
      </c>
      <c r="F43" s="2" t="s">
        <v>413</v>
      </c>
    </row>
    <row r="44">
      <c r="A44" s="2" t="s">
        <v>448</v>
      </c>
      <c r="B44" s="2" t="s">
        <v>143</v>
      </c>
      <c r="C44" s="4">
        <v>13.0</v>
      </c>
      <c r="D44" s="5">
        <v>45419.0</v>
      </c>
      <c r="E44" s="5">
        <v>45313.0</v>
      </c>
      <c r="F44" s="2" t="s">
        <v>406</v>
      </c>
    </row>
    <row r="45">
      <c r="A45" s="2" t="s">
        <v>449</v>
      </c>
      <c r="B45" s="2" t="s">
        <v>95</v>
      </c>
      <c r="C45" s="4">
        <v>8.0</v>
      </c>
      <c r="D45" s="5">
        <v>45524.0</v>
      </c>
      <c r="E45" s="5">
        <v>45641.0</v>
      </c>
      <c r="F45" s="2" t="s">
        <v>404</v>
      </c>
    </row>
    <row r="46">
      <c r="A46" s="2" t="s">
        <v>450</v>
      </c>
      <c r="B46" s="2" t="s">
        <v>52</v>
      </c>
      <c r="C46" s="4">
        <v>14.0</v>
      </c>
      <c r="D46" s="5">
        <v>45449.0</v>
      </c>
      <c r="E46" s="5">
        <v>45480.0</v>
      </c>
      <c r="F46" s="2" t="s">
        <v>413</v>
      </c>
    </row>
    <row r="47">
      <c r="A47" s="2" t="s">
        <v>451</v>
      </c>
      <c r="B47" s="2" t="s">
        <v>141</v>
      </c>
      <c r="C47" s="4">
        <v>9.0</v>
      </c>
      <c r="D47" s="5">
        <v>45602.0</v>
      </c>
      <c r="E47" s="5">
        <v>45410.0</v>
      </c>
      <c r="F47" s="2" t="s">
        <v>404</v>
      </c>
    </row>
    <row r="48">
      <c r="A48" s="2" t="s">
        <v>452</v>
      </c>
      <c r="B48" s="2" t="s">
        <v>43</v>
      </c>
      <c r="C48" s="4">
        <v>14.0</v>
      </c>
      <c r="D48" s="5">
        <v>45369.0</v>
      </c>
      <c r="E48" s="5">
        <v>45576.0</v>
      </c>
      <c r="F48" s="2" t="s">
        <v>413</v>
      </c>
    </row>
    <row r="49">
      <c r="A49" s="2" t="s">
        <v>453</v>
      </c>
      <c r="B49" s="2" t="s">
        <v>143</v>
      </c>
      <c r="C49" s="4">
        <v>19.0</v>
      </c>
      <c r="D49" s="5">
        <v>45378.0</v>
      </c>
      <c r="E49" s="5">
        <v>45352.0</v>
      </c>
      <c r="F49" s="2" t="s">
        <v>404</v>
      </c>
    </row>
    <row r="50">
      <c r="A50" s="2" t="s">
        <v>454</v>
      </c>
      <c r="B50" s="2" t="s">
        <v>207</v>
      </c>
      <c r="C50" s="4">
        <v>5.0</v>
      </c>
      <c r="D50" s="5">
        <v>45545.0</v>
      </c>
      <c r="E50" s="5">
        <v>45402.0</v>
      </c>
      <c r="F50" s="2" t="s">
        <v>413</v>
      </c>
    </row>
    <row r="51">
      <c r="A51" s="2" t="s">
        <v>455</v>
      </c>
      <c r="B51" s="2" t="s">
        <v>103</v>
      </c>
      <c r="C51" s="4">
        <v>13.0</v>
      </c>
      <c r="D51" s="5">
        <v>45600.0</v>
      </c>
      <c r="E51" s="5">
        <v>45488.0</v>
      </c>
      <c r="F51" s="2" t="s">
        <v>406</v>
      </c>
    </row>
    <row r="52">
      <c r="A52" s="2" t="s">
        <v>456</v>
      </c>
      <c r="B52" s="2" t="s">
        <v>129</v>
      </c>
      <c r="C52" s="4">
        <v>17.0</v>
      </c>
      <c r="D52" s="5">
        <v>45424.0</v>
      </c>
      <c r="E52" s="5">
        <v>45640.0</v>
      </c>
      <c r="F52" s="2" t="s">
        <v>406</v>
      </c>
    </row>
    <row r="53">
      <c r="A53" s="2" t="s">
        <v>457</v>
      </c>
      <c r="B53" s="2" t="s">
        <v>50</v>
      </c>
      <c r="C53" s="4">
        <v>1.0</v>
      </c>
      <c r="D53" s="5">
        <v>45364.0</v>
      </c>
      <c r="E53" s="5">
        <v>45550.0</v>
      </c>
      <c r="F53" s="2" t="s">
        <v>404</v>
      </c>
    </row>
    <row r="54">
      <c r="A54" s="2" t="s">
        <v>458</v>
      </c>
      <c r="B54" s="2" t="s">
        <v>26</v>
      </c>
      <c r="C54" s="4">
        <v>6.0</v>
      </c>
      <c r="D54" s="5">
        <v>45301.0</v>
      </c>
      <c r="E54" s="5">
        <v>45442.0</v>
      </c>
      <c r="F54" s="2" t="s">
        <v>413</v>
      </c>
    </row>
    <row r="55">
      <c r="A55" s="2" t="s">
        <v>459</v>
      </c>
      <c r="B55" s="2" t="s">
        <v>107</v>
      </c>
      <c r="C55" s="4">
        <v>1.0</v>
      </c>
      <c r="D55" s="5">
        <v>45590.0</v>
      </c>
      <c r="E55" s="5">
        <v>45352.0</v>
      </c>
      <c r="F55" s="2" t="s">
        <v>404</v>
      </c>
    </row>
    <row r="56">
      <c r="A56" s="2" t="s">
        <v>460</v>
      </c>
      <c r="B56" s="2" t="s">
        <v>205</v>
      </c>
      <c r="C56" s="4">
        <v>6.0</v>
      </c>
      <c r="D56" s="5">
        <v>45293.0</v>
      </c>
      <c r="E56" s="5">
        <v>45413.0</v>
      </c>
      <c r="F56" s="2" t="s">
        <v>413</v>
      </c>
    </row>
    <row r="57">
      <c r="A57" s="2" t="s">
        <v>461</v>
      </c>
      <c r="B57" s="2" t="s">
        <v>221</v>
      </c>
      <c r="C57" s="4">
        <v>8.0</v>
      </c>
      <c r="D57" s="5">
        <v>45434.0</v>
      </c>
      <c r="E57" s="5">
        <v>45401.0</v>
      </c>
      <c r="F57" s="2" t="s">
        <v>406</v>
      </c>
    </row>
    <row r="58">
      <c r="A58" s="2" t="s">
        <v>462</v>
      </c>
      <c r="B58" s="2" t="s">
        <v>141</v>
      </c>
      <c r="C58" s="4">
        <v>3.0</v>
      </c>
      <c r="D58" s="5">
        <v>45423.0</v>
      </c>
      <c r="E58" s="5">
        <v>45561.0</v>
      </c>
      <c r="F58" s="2" t="s">
        <v>406</v>
      </c>
    </row>
    <row r="59">
      <c r="A59" s="2" t="s">
        <v>463</v>
      </c>
      <c r="B59" s="2" t="s">
        <v>34</v>
      </c>
      <c r="C59" s="4">
        <v>14.0</v>
      </c>
      <c r="D59" s="5">
        <v>45443.0</v>
      </c>
      <c r="E59" s="5">
        <v>45652.0</v>
      </c>
      <c r="F59" s="2" t="s">
        <v>406</v>
      </c>
    </row>
    <row r="60">
      <c r="A60" s="2" t="s">
        <v>464</v>
      </c>
      <c r="B60" s="2" t="s">
        <v>72</v>
      </c>
      <c r="C60" s="4">
        <v>5.0</v>
      </c>
      <c r="D60" s="5">
        <v>45554.0</v>
      </c>
      <c r="E60" s="5">
        <v>45313.0</v>
      </c>
      <c r="F60" s="2" t="s">
        <v>413</v>
      </c>
    </row>
    <row r="61">
      <c r="A61" s="2" t="s">
        <v>465</v>
      </c>
      <c r="B61" s="2" t="s">
        <v>93</v>
      </c>
      <c r="C61" s="4">
        <v>17.0</v>
      </c>
      <c r="D61" s="5">
        <v>45526.0</v>
      </c>
      <c r="E61" s="5">
        <v>45483.0</v>
      </c>
      <c r="F61" s="2" t="s">
        <v>413</v>
      </c>
    </row>
    <row r="62">
      <c r="A62" s="2" t="s">
        <v>466</v>
      </c>
      <c r="B62" s="2" t="s">
        <v>203</v>
      </c>
      <c r="C62" s="4">
        <v>13.0</v>
      </c>
      <c r="D62" s="5">
        <v>45369.0</v>
      </c>
      <c r="E62" s="5">
        <v>45604.0</v>
      </c>
      <c r="F62" s="2" t="s">
        <v>406</v>
      </c>
    </row>
    <row r="63">
      <c r="A63" s="2" t="s">
        <v>467</v>
      </c>
      <c r="B63" s="2" t="s">
        <v>26</v>
      </c>
      <c r="C63" s="4">
        <v>4.0</v>
      </c>
      <c r="D63" s="5">
        <v>45321.0</v>
      </c>
      <c r="E63" s="5">
        <v>45653.0</v>
      </c>
      <c r="F63" s="2" t="s">
        <v>413</v>
      </c>
    </row>
    <row r="64">
      <c r="A64" s="2" t="s">
        <v>468</v>
      </c>
      <c r="B64" s="2" t="s">
        <v>191</v>
      </c>
      <c r="C64" s="4">
        <v>18.0</v>
      </c>
      <c r="D64" s="5">
        <v>45378.0</v>
      </c>
      <c r="E64" s="5">
        <v>45637.0</v>
      </c>
      <c r="F64" s="2" t="s">
        <v>404</v>
      </c>
    </row>
    <row r="65">
      <c r="A65" s="2" t="s">
        <v>469</v>
      </c>
      <c r="B65" s="2" t="s">
        <v>22</v>
      </c>
      <c r="C65" s="4">
        <v>2.0</v>
      </c>
      <c r="D65" s="5">
        <v>45424.0</v>
      </c>
      <c r="E65" s="5">
        <v>45336.0</v>
      </c>
      <c r="F65" s="2" t="s">
        <v>404</v>
      </c>
    </row>
    <row r="66">
      <c r="A66" s="2" t="s">
        <v>470</v>
      </c>
      <c r="B66" s="2" t="s">
        <v>175</v>
      </c>
      <c r="C66" s="4">
        <v>16.0</v>
      </c>
      <c r="D66" s="5">
        <v>45632.0</v>
      </c>
      <c r="E66" s="5">
        <v>45543.0</v>
      </c>
      <c r="F66" s="2" t="s">
        <v>406</v>
      </c>
    </row>
    <row r="67">
      <c r="A67" s="2" t="s">
        <v>471</v>
      </c>
      <c r="B67" s="2" t="s">
        <v>105</v>
      </c>
      <c r="C67" s="4">
        <v>16.0</v>
      </c>
      <c r="D67" s="5">
        <v>45567.0</v>
      </c>
      <c r="E67" s="5">
        <v>45564.0</v>
      </c>
      <c r="F67" s="2" t="s">
        <v>413</v>
      </c>
    </row>
    <row r="68">
      <c r="A68" s="2" t="s">
        <v>472</v>
      </c>
      <c r="B68" s="2" t="s">
        <v>72</v>
      </c>
      <c r="C68" s="4">
        <v>8.0</v>
      </c>
      <c r="D68" s="5">
        <v>45603.0</v>
      </c>
      <c r="E68" s="5">
        <v>45316.0</v>
      </c>
      <c r="F68" s="2" t="s">
        <v>406</v>
      </c>
    </row>
    <row r="69">
      <c r="A69" s="2" t="s">
        <v>473</v>
      </c>
      <c r="B69" s="2" t="s">
        <v>52</v>
      </c>
      <c r="C69" s="4">
        <v>1.0</v>
      </c>
      <c r="D69" s="5">
        <v>45655.0</v>
      </c>
      <c r="E69" s="5">
        <v>45326.0</v>
      </c>
      <c r="F69" s="2" t="s">
        <v>413</v>
      </c>
    </row>
    <row r="70">
      <c r="A70" s="2" t="s">
        <v>474</v>
      </c>
      <c r="B70" s="2" t="s">
        <v>64</v>
      </c>
      <c r="C70" s="4">
        <v>14.0</v>
      </c>
      <c r="D70" s="5">
        <v>45300.0</v>
      </c>
      <c r="E70" s="5">
        <v>45520.0</v>
      </c>
      <c r="F70" s="2" t="s">
        <v>404</v>
      </c>
    </row>
    <row r="71">
      <c r="A71" s="2" t="s">
        <v>475</v>
      </c>
      <c r="B71" s="2" t="s">
        <v>145</v>
      </c>
      <c r="C71" s="4">
        <v>16.0</v>
      </c>
      <c r="D71" s="5">
        <v>45657.0</v>
      </c>
      <c r="E71" s="5">
        <v>45414.0</v>
      </c>
      <c r="F71" s="2" t="s">
        <v>404</v>
      </c>
    </row>
    <row r="72">
      <c r="A72" s="2" t="s">
        <v>476</v>
      </c>
      <c r="B72" s="2" t="s">
        <v>171</v>
      </c>
      <c r="C72" s="4">
        <v>11.0</v>
      </c>
      <c r="D72" s="5">
        <v>45476.0</v>
      </c>
      <c r="E72" s="5">
        <v>45348.0</v>
      </c>
      <c r="F72" s="2" t="s">
        <v>404</v>
      </c>
    </row>
    <row r="73">
      <c r="A73" s="2" t="s">
        <v>477</v>
      </c>
      <c r="B73" s="2" t="s">
        <v>87</v>
      </c>
      <c r="C73" s="4">
        <v>4.0</v>
      </c>
      <c r="D73" s="5">
        <v>45454.0</v>
      </c>
      <c r="E73" s="5">
        <v>45576.0</v>
      </c>
      <c r="F73" s="2" t="s">
        <v>413</v>
      </c>
    </row>
    <row r="74">
      <c r="A74" s="2" t="s">
        <v>478</v>
      </c>
      <c r="B74" s="2" t="s">
        <v>60</v>
      </c>
      <c r="C74" s="4">
        <v>10.0</v>
      </c>
      <c r="D74" s="5">
        <v>45630.0</v>
      </c>
      <c r="E74" s="5">
        <v>45600.0</v>
      </c>
      <c r="F74" s="2" t="s">
        <v>413</v>
      </c>
    </row>
    <row r="75">
      <c r="A75" s="2" t="s">
        <v>479</v>
      </c>
      <c r="B75" s="2" t="s">
        <v>10</v>
      </c>
      <c r="C75" s="4">
        <v>6.0</v>
      </c>
      <c r="D75" s="5">
        <v>45537.0</v>
      </c>
      <c r="E75" s="5">
        <v>45524.0</v>
      </c>
      <c r="F75" s="2" t="s">
        <v>404</v>
      </c>
    </row>
    <row r="76">
      <c r="A76" s="2" t="s">
        <v>480</v>
      </c>
      <c r="B76" s="2" t="s">
        <v>201</v>
      </c>
      <c r="C76" s="4">
        <v>2.0</v>
      </c>
      <c r="D76" s="5">
        <v>45440.0</v>
      </c>
      <c r="E76" s="5">
        <v>45350.0</v>
      </c>
      <c r="F76" s="2" t="s">
        <v>404</v>
      </c>
    </row>
    <row r="77">
      <c r="A77" s="2" t="s">
        <v>481</v>
      </c>
      <c r="B77" s="2" t="s">
        <v>171</v>
      </c>
      <c r="C77" s="4">
        <v>17.0</v>
      </c>
      <c r="D77" s="5">
        <v>45538.0</v>
      </c>
      <c r="E77" s="5">
        <v>45303.0</v>
      </c>
      <c r="F77" s="2" t="s">
        <v>406</v>
      </c>
    </row>
    <row r="78">
      <c r="A78" s="2" t="s">
        <v>482</v>
      </c>
      <c r="B78" s="2" t="s">
        <v>199</v>
      </c>
      <c r="C78" s="4">
        <v>7.0</v>
      </c>
      <c r="D78" s="5">
        <v>45437.0</v>
      </c>
      <c r="E78" s="5">
        <v>45420.0</v>
      </c>
      <c r="F78" s="2" t="s">
        <v>413</v>
      </c>
    </row>
    <row r="79">
      <c r="A79" s="2" t="s">
        <v>483</v>
      </c>
      <c r="B79" s="2" t="s">
        <v>117</v>
      </c>
      <c r="C79" s="4">
        <v>7.0</v>
      </c>
      <c r="D79" s="5">
        <v>45589.0</v>
      </c>
      <c r="E79" s="5">
        <v>45618.0</v>
      </c>
      <c r="F79" s="2" t="s">
        <v>404</v>
      </c>
    </row>
    <row r="80">
      <c r="A80" s="2" t="s">
        <v>484</v>
      </c>
      <c r="B80" s="2" t="s">
        <v>68</v>
      </c>
      <c r="C80" s="4">
        <v>11.0</v>
      </c>
      <c r="D80" s="5">
        <v>45417.0</v>
      </c>
      <c r="E80" s="5">
        <v>45357.0</v>
      </c>
      <c r="F80" s="2" t="s">
        <v>406</v>
      </c>
    </row>
    <row r="81">
      <c r="A81" s="2" t="s">
        <v>485</v>
      </c>
      <c r="B81" s="2" t="s">
        <v>83</v>
      </c>
      <c r="C81" s="4">
        <v>19.0</v>
      </c>
      <c r="D81" s="5">
        <v>45638.0</v>
      </c>
      <c r="E81" s="5">
        <v>45488.0</v>
      </c>
      <c r="F81" s="2" t="s">
        <v>406</v>
      </c>
    </row>
    <row r="82">
      <c r="A82" s="2" t="s">
        <v>486</v>
      </c>
      <c r="B82" s="2" t="s">
        <v>72</v>
      </c>
      <c r="C82" s="4">
        <v>8.0</v>
      </c>
      <c r="D82" s="5">
        <v>45649.0</v>
      </c>
      <c r="E82" s="5">
        <v>45450.0</v>
      </c>
      <c r="F82" s="2" t="s">
        <v>404</v>
      </c>
    </row>
    <row r="83">
      <c r="A83" s="2" t="s">
        <v>487</v>
      </c>
      <c r="B83" s="2" t="s">
        <v>43</v>
      </c>
      <c r="C83" s="4">
        <v>6.0</v>
      </c>
      <c r="D83" s="5">
        <v>45572.0</v>
      </c>
      <c r="E83" s="5">
        <v>45588.0</v>
      </c>
      <c r="F83" s="2" t="s">
        <v>413</v>
      </c>
    </row>
    <row r="84">
      <c r="A84" s="2" t="s">
        <v>488</v>
      </c>
      <c r="B84" s="2" t="s">
        <v>193</v>
      </c>
      <c r="C84" s="4">
        <v>7.0</v>
      </c>
      <c r="D84" s="5">
        <v>45643.0</v>
      </c>
      <c r="E84" s="5">
        <v>45388.0</v>
      </c>
      <c r="F84" s="2" t="s">
        <v>413</v>
      </c>
    </row>
    <row r="85">
      <c r="A85" s="2" t="s">
        <v>489</v>
      </c>
      <c r="B85" s="2" t="s">
        <v>101</v>
      </c>
      <c r="C85" s="4">
        <v>2.0</v>
      </c>
      <c r="D85" s="5">
        <v>45487.0</v>
      </c>
      <c r="E85" s="5">
        <v>45391.0</v>
      </c>
      <c r="F85" s="2" t="s">
        <v>406</v>
      </c>
    </row>
    <row r="86">
      <c r="A86" s="2" t="s">
        <v>490</v>
      </c>
      <c r="B86" s="2" t="s">
        <v>163</v>
      </c>
      <c r="C86" s="4">
        <v>8.0</v>
      </c>
      <c r="D86" s="5">
        <v>45293.0</v>
      </c>
      <c r="E86" s="5">
        <v>45358.0</v>
      </c>
      <c r="F86" s="2" t="s">
        <v>413</v>
      </c>
    </row>
    <row r="87">
      <c r="A87" s="2" t="s">
        <v>491</v>
      </c>
      <c r="B87" s="2" t="s">
        <v>109</v>
      </c>
      <c r="C87" s="4">
        <v>15.0</v>
      </c>
      <c r="D87" s="5">
        <v>45647.0</v>
      </c>
      <c r="E87" s="5">
        <v>45590.0</v>
      </c>
      <c r="F87" s="2" t="s">
        <v>406</v>
      </c>
    </row>
    <row r="88">
      <c r="A88" s="2" t="s">
        <v>492</v>
      </c>
      <c r="B88" s="2" t="s">
        <v>93</v>
      </c>
      <c r="C88" s="4">
        <v>17.0</v>
      </c>
      <c r="D88" s="5">
        <v>45377.0</v>
      </c>
      <c r="E88" s="5">
        <v>45526.0</v>
      </c>
      <c r="F88" s="2" t="s">
        <v>404</v>
      </c>
    </row>
    <row r="89">
      <c r="A89" s="2" t="s">
        <v>493</v>
      </c>
      <c r="B89" s="2" t="s">
        <v>199</v>
      </c>
      <c r="C89" s="4">
        <v>7.0</v>
      </c>
      <c r="D89" s="5">
        <v>45387.0</v>
      </c>
      <c r="E89" s="5">
        <v>45450.0</v>
      </c>
      <c r="F89" s="2" t="s">
        <v>413</v>
      </c>
    </row>
    <row r="90">
      <c r="A90" s="2" t="s">
        <v>494</v>
      </c>
      <c r="B90" s="2" t="s">
        <v>131</v>
      </c>
      <c r="C90" s="4">
        <v>7.0</v>
      </c>
      <c r="D90" s="5">
        <v>45655.0</v>
      </c>
      <c r="E90" s="5">
        <v>45423.0</v>
      </c>
      <c r="F90" s="2" t="s">
        <v>404</v>
      </c>
    </row>
    <row r="91">
      <c r="A91" s="2" t="s">
        <v>495</v>
      </c>
      <c r="B91" s="2" t="s">
        <v>191</v>
      </c>
      <c r="C91" s="4">
        <v>2.0</v>
      </c>
      <c r="D91" s="5">
        <v>45376.0</v>
      </c>
      <c r="E91" s="5">
        <v>45562.0</v>
      </c>
      <c r="F91" s="2" t="s">
        <v>406</v>
      </c>
    </row>
    <row r="92">
      <c r="A92" s="2" t="s">
        <v>496</v>
      </c>
      <c r="B92" s="2" t="s">
        <v>159</v>
      </c>
      <c r="C92" s="4">
        <v>9.0</v>
      </c>
      <c r="D92" s="5">
        <v>45602.0</v>
      </c>
      <c r="E92" s="5">
        <v>45473.0</v>
      </c>
      <c r="F92" s="2" t="s">
        <v>413</v>
      </c>
    </row>
    <row r="93">
      <c r="A93" s="2" t="s">
        <v>497</v>
      </c>
      <c r="B93" s="2" t="s">
        <v>157</v>
      </c>
      <c r="C93" s="4">
        <v>4.0</v>
      </c>
      <c r="D93" s="5">
        <v>45601.0</v>
      </c>
      <c r="E93" s="5">
        <v>45531.0</v>
      </c>
      <c r="F93" s="2" t="s">
        <v>413</v>
      </c>
    </row>
    <row r="94">
      <c r="A94" s="2" t="s">
        <v>498</v>
      </c>
      <c r="B94" s="2" t="s">
        <v>99</v>
      </c>
      <c r="C94" s="4">
        <v>10.0</v>
      </c>
      <c r="D94" s="5">
        <v>45304.0</v>
      </c>
      <c r="E94" s="5">
        <v>45356.0</v>
      </c>
      <c r="F94" s="2" t="s">
        <v>406</v>
      </c>
    </row>
    <row r="95">
      <c r="A95" s="2" t="s">
        <v>499</v>
      </c>
      <c r="B95" s="2" t="s">
        <v>43</v>
      </c>
      <c r="C95" s="4">
        <v>16.0</v>
      </c>
      <c r="D95" s="5">
        <v>45613.0</v>
      </c>
      <c r="E95" s="5">
        <v>45627.0</v>
      </c>
      <c r="F95" s="2" t="s">
        <v>406</v>
      </c>
    </row>
    <row r="96">
      <c r="A96" s="2" t="s">
        <v>500</v>
      </c>
      <c r="B96" s="2" t="s">
        <v>107</v>
      </c>
      <c r="C96" s="4">
        <v>6.0</v>
      </c>
      <c r="D96" s="5">
        <v>45292.0</v>
      </c>
      <c r="E96" s="5">
        <v>45413.0</v>
      </c>
      <c r="F96" s="2" t="s">
        <v>406</v>
      </c>
    </row>
    <row r="97">
      <c r="A97" s="2" t="s">
        <v>501</v>
      </c>
      <c r="B97" s="2" t="s">
        <v>117</v>
      </c>
      <c r="C97" s="4">
        <v>4.0</v>
      </c>
      <c r="D97" s="5">
        <v>45500.0</v>
      </c>
      <c r="E97" s="5">
        <v>45341.0</v>
      </c>
      <c r="F97" s="2" t="s">
        <v>404</v>
      </c>
    </row>
    <row r="98">
      <c r="A98" s="2" t="s">
        <v>502</v>
      </c>
      <c r="B98" s="2" t="s">
        <v>70</v>
      </c>
      <c r="C98" s="4">
        <v>2.0</v>
      </c>
      <c r="D98" s="5">
        <v>45517.0</v>
      </c>
      <c r="E98" s="5">
        <v>45622.0</v>
      </c>
      <c r="F98" s="2" t="s">
        <v>406</v>
      </c>
    </row>
    <row r="99">
      <c r="A99" s="2" t="s">
        <v>503</v>
      </c>
      <c r="B99" s="2" t="s">
        <v>76</v>
      </c>
      <c r="C99" s="4">
        <v>20.0</v>
      </c>
      <c r="D99" s="5">
        <v>45590.0</v>
      </c>
      <c r="E99" s="5">
        <v>45543.0</v>
      </c>
      <c r="F99" s="2" t="s">
        <v>404</v>
      </c>
    </row>
    <row r="100">
      <c r="A100" s="2" t="s">
        <v>504</v>
      </c>
      <c r="B100" s="2" t="s">
        <v>45</v>
      </c>
      <c r="C100" s="4">
        <v>15.0</v>
      </c>
      <c r="D100" s="5">
        <v>45548.0</v>
      </c>
      <c r="E100" s="5">
        <v>45310.0</v>
      </c>
      <c r="F100" s="2" t="s">
        <v>404</v>
      </c>
    </row>
    <row r="101">
      <c r="A101" s="2" t="s">
        <v>505</v>
      </c>
      <c r="B101" s="2" t="s">
        <v>89</v>
      </c>
      <c r="C101" s="4">
        <v>5.0</v>
      </c>
      <c r="D101" s="5">
        <v>45460.0</v>
      </c>
      <c r="E101" s="5">
        <v>45500.0</v>
      </c>
      <c r="F101" s="2" t="s">
        <v>413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506</v>
      </c>
      <c r="B1" s="1" t="s">
        <v>0</v>
      </c>
      <c r="C1" s="1" t="s">
        <v>223</v>
      </c>
      <c r="D1" s="1" t="s">
        <v>507</v>
      </c>
      <c r="E1" s="1" t="s">
        <v>400</v>
      </c>
      <c r="F1" s="1" t="s">
        <v>401</v>
      </c>
    </row>
    <row r="2">
      <c r="A2" s="2" t="s">
        <v>508</v>
      </c>
      <c r="B2" s="2" t="s">
        <v>78</v>
      </c>
      <c r="C2" s="4">
        <v>18.0</v>
      </c>
      <c r="D2" s="4">
        <v>27.97</v>
      </c>
      <c r="E2" s="5">
        <v>45566.0</v>
      </c>
      <c r="F2" s="5">
        <v>45508.0</v>
      </c>
    </row>
    <row r="3">
      <c r="A3" s="2" t="s">
        <v>509</v>
      </c>
      <c r="B3" s="2" t="s">
        <v>68</v>
      </c>
      <c r="C3" s="4">
        <v>2.0</v>
      </c>
      <c r="D3" s="4">
        <v>13.21</v>
      </c>
      <c r="E3" s="5">
        <v>45417.0</v>
      </c>
      <c r="F3" s="5">
        <v>45504.0</v>
      </c>
    </row>
    <row r="4">
      <c r="A4" s="2" t="s">
        <v>510</v>
      </c>
      <c r="B4" s="2" t="s">
        <v>66</v>
      </c>
      <c r="C4" s="4">
        <v>5.0</v>
      </c>
      <c r="D4" s="4">
        <v>39.75</v>
      </c>
      <c r="E4" s="5">
        <v>45352.0</v>
      </c>
      <c r="F4" s="5">
        <v>45475.0</v>
      </c>
    </row>
    <row r="5">
      <c r="A5" s="2" t="s">
        <v>511</v>
      </c>
      <c r="B5" s="2" t="s">
        <v>103</v>
      </c>
      <c r="C5" s="4">
        <v>3.0</v>
      </c>
      <c r="D5" s="4">
        <v>41.64</v>
      </c>
      <c r="E5" s="5">
        <v>45395.0</v>
      </c>
      <c r="F5" s="5">
        <v>45345.0</v>
      </c>
    </row>
    <row r="6">
      <c r="A6" s="2" t="s">
        <v>512</v>
      </c>
      <c r="B6" s="2" t="s">
        <v>95</v>
      </c>
      <c r="C6" s="4">
        <v>12.0</v>
      </c>
      <c r="D6" s="4">
        <v>32.07</v>
      </c>
      <c r="E6" s="5">
        <v>45299.0</v>
      </c>
      <c r="F6" s="5">
        <v>45559.0</v>
      </c>
    </row>
    <row r="7">
      <c r="A7" s="2" t="s">
        <v>513</v>
      </c>
      <c r="B7" s="2" t="s">
        <v>74</v>
      </c>
      <c r="C7" s="4">
        <v>10.0</v>
      </c>
      <c r="D7" s="4">
        <v>27.53</v>
      </c>
      <c r="E7" s="5">
        <v>45469.0</v>
      </c>
      <c r="F7" s="5">
        <v>45479.0</v>
      </c>
    </row>
    <row r="8">
      <c r="A8" s="2" t="s">
        <v>514</v>
      </c>
      <c r="B8" s="2" t="s">
        <v>76</v>
      </c>
      <c r="C8" s="4">
        <v>13.0</v>
      </c>
      <c r="D8" s="4">
        <v>19.6</v>
      </c>
      <c r="E8" s="5">
        <v>45346.0</v>
      </c>
      <c r="F8" s="5">
        <v>45610.0</v>
      </c>
    </row>
    <row r="9">
      <c r="A9" s="2" t="s">
        <v>515</v>
      </c>
      <c r="B9" s="2" t="s">
        <v>187</v>
      </c>
      <c r="C9" s="4">
        <v>19.0</v>
      </c>
      <c r="D9" s="4">
        <v>44.96</v>
      </c>
      <c r="E9" s="5">
        <v>45630.0</v>
      </c>
      <c r="F9" s="5">
        <v>45334.0</v>
      </c>
    </row>
    <row r="10">
      <c r="A10" s="2" t="s">
        <v>516</v>
      </c>
      <c r="B10" s="2" t="s">
        <v>161</v>
      </c>
      <c r="C10" s="4">
        <v>18.0</v>
      </c>
      <c r="D10" s="4">
        <v>40.94</v>
      </c>
      <c r="E10" s="5">
        <v>45401.0</v>
      </c>
      <c r="F10" s="5">
        <v>45518.0</v>
      </c>
    </row>
    <row r="11">
      <c r="A11" s="2" t="s">
        <v>517</v>
      </c>
      <c r="B11" s="2" t="s">
        <v>157</v>
      </c>
      <c r="C11" s="4">
        <v>9.0</v>
      </c>
      <c r="D11" s="4">
        <v>37.91</v>
      </c>
      <c r="E11" s="5">
        <v>45498.0</v>
      </c>
      <c r="F11" s="5">
        <v>45495.0</v>
      </c>
    </row>
    <row r="12">
      <c r="A12" s="2" t="s">
        <v>518</v>
      </c>
      <c r="B12" s="2" t="s">
        <v>173</v>
      </c>
      <c r="C12" s="4">
        <v>13.0</v>
      </c>
      <c r="D12" s="4">
        <v>22.63</v>
      </c>
      <c r="E12" s="5">
        <v>45395.0</v>
      </c>
      <c r="F12" s="5">
        <v>45562.0</v>
      </c>
    </row>
    <row r="13">
      <c r="A13" s="2" t="s">
        <v>519</v>
      </c>
      <c r="B13" s="2" t="s">
        <v>10</v>
      </c>
      <c r="C13" s="4">
        <v>9.0</v>
      </c>
      <c r="D13" s="4">
        <v>24.75</v>
      </c>
      <c r="E13" s="5">
        <v>45495.0</v>
      </c>
      <c r="F13" s="5">
        <v>45385.0</v>
      </c>
    </row>
    <row r="14">
      <c r="A14" s="2" t="s">
        <v>520</v>
      </c>
      <c r="B14" s="2" t="s">
        <v>72</v>
      </c>
      <c r="C14" s="4">
        <v>16.0</v>
      </c>
      <c r="D14" s="4">
        <v>25.86</v>
      </c>
      <c r="E14" s="5">
        <v>45433.0</v>
      </c>
      <c r="F14" s="5">
        <v>45369.0</v>
      </c>
    </row>
    <row r="15">
      <c r="A15" s="2" t="s">
        <v>521</v>
      </c>
      <c r="B15" s="2" t="s">
        <v>193</v>
      </c>
      <c r="C15" s="4">
        <v>3.0</v>
      </c>
      <c r="D15" s="4">
        <v>40.58</v>
      </c>
      <c r="E15" s="5">
        <v>45451.0</v>
      </c>
      <c r="F15" s="5">
        <v>45531.0</v>
      </c>
    </row>
    <row r="16">
      <c r="A16" s="2" t="s">
        <v>522</v>
      </c>
      <c r="B16" s="2" t="s">
        <v>45</v>
      </c>
      <c r="C16" s="4">
        <v>17.0</v>
      </c>
      <c r="D16" s="4">
        <v>40.6</v>
      </c>
      <c r="E16" s="5">
        <v>45407.0</v>
      </c>
      <c r="F16" s="5">
        <v>45593.0</v>
      </c>
    </row>
    <row r="17">
      <c r="A17" s="2" t="s">
        <v>523</v>
      </c>
      <c r="B17" s="2" t="s">
        <v>31</v>
      </c>
      <c r="C17" s="4">
        <v>4.0</v>
      </c>
      <c r="D17" s="4">
        <v>23.04</v>
      </c>
      <c r="E17" s="5">
        <v>45328.0</v>
      </c>
      <c r="F17" s="5">
        <v>45343.0</v>
      </c>
    </row>
    <row r="18">
      <c r="A18" s="2" t="s">
        <v>524</v>
      </c>
      <c r="B18" s="2" t="s">
        <v>37</v>
      </c>
      <c r="C18" s="4">
        <v>13.0</v>
      </c>
      <c r="D18" s="4">
        <v>36.33</v>
      </c>
      <c r="E18" s="5">
        <v>45355.0</v>
      </c>
      <c r="F18" s="5">
        <v>45577.0</v>
      </c>
    </row>
    <row r="19">
      <c r="A19" s="2" t="s">
        <v>525</v>
      </c>
      <c r="B19" s="2" t="s">
        <v>40</v>
      </c>
      <c r="C19" s="4">
        <v>8.0</v>
      </c>
      <c r="D19" s="4">
        <v>45.34</v>
      </c>
      <c r="E19" s="5">
        <v>45366.0</v>
      </c>
      <c r="F19" s="5">
        <v>45568.0</v>
      </c>
    </row>
    <row r="20">
      <c r="A20" s="2" t="s">
        <v>526</v>
      </c>
      <c r="B20" s="2" t="s">
        <v>76</v>
      </c>
      <c r="C20" s="4">
        <v>7.0</v>
      </c>
      <c r="D20" s="4">
        <v>38.68</v>
      </c>
      <c r="E20" s="5">
        <v>45373.0</v>
      </c>
      <c r="F20" s="5">
        <v>45439.0</v>
      </c>
    </row>
    <row r="21">
      <c r="A21" s="2" t="s">
        <v>527</v>
      </c>
      <c r="B21" s="2" t="s">
        <v>221</v>
      </c>
      <c r="C21" s="4">
        <v>2.0</v>
      </c>
      <c r="D21" s="4">
        <v>37.53</v>
      </c>
      <c r="E21" s="5">
        <v>45541.0</v>
      </c>
      <c r="F21" s="5">
        <v>45442.0</v>
      </c>
    </row>
    <row r="22">
      <c r="A22" s="2" t="s">
        <v>528</v>
      </c>
      <c r="B22" s="2" t="s">
        <v>125</v>
      </c>
      <c r="C22" s="4">
        <v>12.0</v>
      </c>
      <c r="D22" s="4">
        <v>13.55</v>
      </c>
      <c r="E22" s="5">
        <v>45520.0</v>
      </c>
      <c r="F22" s="5">
        <v>45487.0</v>
      </c>
    </row>
    <row r="23">
      <c r="A23" s="2" t="s">
        <v>529</v>
      </c>
      <c r="B23" s="2" t="s">
        <v>221</v>
      </c>
      <c r="C23" s="4">
        <v>19.0</v>
      </c>
      <c r="D23" s="4">
        <v>9.01</v>
      </c>
      <c r="E23" s="5">
        <v>45470.0</v>
      </c>
      <c r="F23" s="5">
        <v>45610.0</v>
      </c>
    </row>
    <row r="24">
      <c r="A24" s="2" t="s">
        <v>530</v>
      </c>
      <c r="B24" s="2" t="s">
        <v>113</v>
      </c>
      <c r="C24" s="4">
        <v>18.0</v>
      </c>
      <c r="D24" s="4">
        <v>30.69</v>
      </c>
      <c r="E24" s="5">
        <v>45377.0</v>
      </c>
      <c r="F24" s="5">
        <v>45523.0</v>
      </c>
    </row>
    <row r="25">
      <c r="A25" s="2" t="s">
        <v>531</v>
      </c>
      <c r="B25" s="2" t="s">
        <v>60</v>
      </c>
      <c r="C25" s="4">
        <v>6.0</v>
      </c>
      <c r="D25" s="4">
        <v>41.82</v>
      </c>
      <c r="E25" s="5">
        <v>45640.0</v>
      </c>
      <c r="F25" s="5">
        <v>45506.0</v>
      </c>
    </row>
    <row r="26">
      <c r="A26" s="2" t="s">
        <v>532</v>
      </c>
      <c r="B26" s="2" t="s">
        <v>68</v>
      </c>
      <c r="C26" s="4">
        <v>11.0</v>
      </c>
      <c r="D26" s="4">
        <v>32.58</v>
      </c>
      <c r="E26" s="5">
        <v>45469.0</v>
      </c>
      <c r="F26" s="5">
        <v>45305.0</v>
      </c>
    </row>
    <row r="27">
      <c r="A27" s="2" t="s">
        <v>533</v>
      </c>
      <c r="B27" s="2" t="s">
        <v>141</v>
      </c>
      <c r="C27" s="4">
        <v>18.0</v>
      </c>
      <c r="D27" s="4">
        <v>42.51</v>
      </c>
      <c r="E27" s="5">
        <v>45372.0</v>
      </c>
      <c r="F27" s="5">
        <v>45619.0</v>
      </c>
    </row>
    <row r="28">
      <c r="A28" s="2" t="s">
        <v>534</v>
      </c>
      <c r="B28" s="2" t="s">
        <v>143</v>
      </c>
      <c r="C28" s="4">
        <v>8.0</v>
      </c>
      <c r="D28" s="4">
        <v>9.67</v>
      </c>
      <c r="E28" s="5">
        <v>45308.0</v>
      </c>
      <c r="F28" s="5">
        <v>45605.0</v>
      </c>
    </row>
    <row r="29">
      <c r="A29" s="2" t="s">
        <v>535</v>
      </c>
      <c r="B29" s="2" t="s">
        <v>64</v>
      </c>
      <c r="C29" s="4">
        <v>17.0</v>
      </c>
      <c r="D29" s="4">
        <v>36.71</v>
      </c>
      <c r="E29" s="5">
        <v>45297.0</v>
      </c>
      <c r="F29" s="5">
        <v>45320.0</v>
      </c>
    </row>
    <row r="30">
      <c r="A30" s="2" t="s">
        <v>536</v>
      </c>
      <c r="B30" s="2" t="s">
        <v>155</v>
      </c>
      <c r="C30" s="4">
        <v>17.0</v>
      </c>
      <c r="D30" s="4">
        <v>5.63</v>
      </c>
      <c r="E30" s="5">
        <v>45456.0</v>
      </c>
      <c r="F30" s="5">
        <v>45557.0</v>
      </c>
    </row>
    <row r="31">
      <c r="A31" s="2" t="s">
        <v>537</v>
      </c>
      <c r="B31" s="2" t="s">
        <v>5</v>
      </c>
      <c r="C31" s="4">
        <v>19.0</v>
      </c>
      <c r="D31" s="4">
        <v>40.71</v>
      </c>
      <c r="E31" s="5">
        <v>45575.0</v>
      </c>
      <c r="F31" s="5">
        <v>45333.0</v>
      </c>
    </row>
    <row r="32">
      <c r="A32" s="2" t="s">
        <v>538</v>
      </c>
      <c r="B32" s="2" t="s">
        <v>31</v>
      </c>
      <c r="C32" s="4">
        <v>7.0</v>
      </c>
      <c r="D32" s="4">
        <v>8.79</v>
      </c>
      <c r="E32" s="5">
        <v>45329.0</v>
      </c>
      <c r="F32" s="5">
        <v>45499.0</v>
      </c>
    </row>
    <row r="33">
      <c r="A33" s="2" t="s">
        <v>539</v>
      </c>
      <c r="B33" s="2" t="s">
        <v>205</v>
      </c>
      <c r="C33" s="4">
        <v>6.0</v>
      </c>
      <c r="D33" s="4">
        <v>42.05</v>
      </c>
      <c r="E33" s="5">
        <v>45374.0</v>
      </c>
      <c r="F33" s="5">
        <v>45400.0</v>
      </c>
    </row>
    <row r="34">
      <c r="A34" s="2" t="s">
        <v>540</v>
      </c>
      <c r="B34" s="2" t="s">
        <v>187</v>
      </c>
      <c r="C34" s="4">
        <v>17.0</v>
      </c>
      <c r="D34" s="4">
        <v>49.94</v>
      </c>
      <c r="E34" s="5">
        <v>45603.0</v>
      </c>
      <c r="F34" s="5">
        <v>45590.0</v>
      </c>
    </row>
    <row r="35">
      <c r="A35" s="2" t="s">
        <v>541</v>
      </c>
      <c r="B35" s="2" t="s">
        <v>115</v>
      </c>
      <c r="C35" s="4">
        <v>7.0</v>
      </c>
      <c r="D35" s="4">
        <v>44.61</v>
      </c>
      <c r="E35" s="5">
        <v>45551.0</v>
      </c>
      <c r="F35" s="5">
        <v>45309.0</v>
      </c>
    </row>
    <row r="36">
      <c r="A36" s="2" t="s">
        <v>542</v>
      </c>
      <c r="B36" s="2" t="s">
        <v>131</v>
      </c>
      <c r="C36" s="4">
        <v>6.0</v>
      </c>
      <c r="D36" s="4">
        <v>7.15</v>
      </c>
      <c r="E36" s="5">
        <v>45613.0</v>
      </c>
      <c r="F36" s="5">
        <v>45351.0</v>
      </c>
    </row>
    <row r="37">
      <c r="A37" s="2" t="s">
        <v>543</v>
      </c>
      <c r="B37" s="2" t="s">
        <v>54</v>
      </c>
      <c r="C37" s="4">
        <v>4.0</v>
      </c>
      <c r="D37" s="4">
        <v>15.07</v>
      </c>
      <c r="E37" s="5">
        <v>45519.0</v>
      </c>
      <c r="F37" s="5">
        <v>45650.0</v>
      </c>
    </row>
    <row r="38">
      <c r="A38" s="2" t="s">
        <v>544</v>
      </c>
      <c r="B38" s="2" t="s">
        <v>207</v>
      </c>
      <c r="C38" s="4">
        <v>14.0</v>
      </c>
      <c r="D38" s="4">
        <v>37.3</v>
      </c>
      <c r="E38" s="5">
        <v>45514.0</v>
      </c>
      <c r="F38" s="5">
        <v>45391.0</v>
      </c>
    </row>
    <row r="39">
      <c r="A39" s="2" t="s">
        <v>545</v>
      </c>
      <c r="B39" s="2" t="s">
        <v>64</v>
      </c>
      <c r="C39" s="4">
        <v>13.0</v>
      </c>
      <c r="D39" s="4">
        <v>34.63</v>
      </c>
      <c r="E39" s="5">
        <v>45654.0</v>
      </c>
      <c r="F39" s="5">
        <v>45461.0</v>
      </c>
    </row>
    <row r="40">
      <c r="A40" s="2" t="s">
        <v>546</v>
      </c>
      <c r="B40" s="2" t="s">
        <v>215</v>
      </c>
      <c r="C40" s="4">
        <v>8.0</v>
      </c>
      <c r="D40" s="4">
        <v>37.74</v>
      </c>
      <c r="E40" s="5">
        <v>45321.0</v>
      </c>
      <c r="F40" s="5">
        <v>45415.0</v>
      </c>
    </row>
    <row r="41">
      <c r="A41" s="2" t="s">
        <v>547</v>
      </c>
      <c r="B41" s="2" t="s">
        <v>85</v>
      </c>
      <c r="C41" s="4">
        <v>5.0</v>
      </c>
      <c r="D41" s="4">
        <v>29.25</v>
      </c>
      <c r="E41" s="5">
        <v>45330.0</v>
      </c>
      <c r="F41" s="5">
        <v>45387.0</v>
      </c>
    </row>
    <row r="42">
      <c r="A42" s="2" t="s">
        <v>548</v>
      </c>
      <c r="B42" s="2" t="s">
        <v>22</v>
      </c>
      <c r="C42" s="4">
        <v>4.0</v>
      </c>
      <c r="D42" s="4">
        <v>21.81</v>
      </c>
      <c r="E42" s="5">
        <v>45376.0</v>
      </c>
      <c r="F42" s="5">
        <v>45469.0</v>
      </c>
    </row>
    <row r="43">
      <c r="A43" s="2" t="s">
        <v>549</v>
      </c>
      <c r="B43" s="2" t="s">
        <v>93</v>
      </c>
      <c r="C43" s="4">
        <v>15.0</v>
      </c>
      <c r="D43" s="4">
        <v>22.59</v>
      </c>
      <c r="E43" s="5">
        <v>45465.0</v>
      </c>
      <c r="F43" s="5">
        <v>45547.0</v>
      </c>
    </row>
    <row r="44">
      <c r="A44" s="2" t="s">
        <v>550</v>
      </c>
      <c r="B44" s="2" t="s">
        <v>107</v>
      </c>
      <c r="C44" s="4">
        <v>17.0</v>
      </c>
      <c r="D44" s="4">
        <v>23.6</v>
      </c>
      <c r="E44" s="5">
        <v>45495.0</v>
      </c>
      <c r="F44" s="5">
        <v>45532.0</v>
      </c>
    </row>
    <row r="45">
      <c r="A45" s="2" t="s">
        <v>551</v>
      </c>
      <c r="B45" s="2" t="s">
        <v>64</v>
      </c>
      <c r="C45" s="4">
        <v>17.0</v>
      </c>
      <c r="D45" s="4">
        <v>18.92</v>
      </c>
      <c r="E45" s="5">
        <v>45485.0</v>
      </c>
      <c r="F45" s="5">
        <v>45509.0</v>
      </c>
    </row>
    <row r="46">
      <c r="A46" s="2" t="s">
        <v>552</v>
      </c>
      <c r="B46" s="2" t="s">
        <v>143</v>
      </c>
      <c r="C46" s="4">
        <v>3.0</v>
      </c>
      <c r="D46" s="4">
        <v>9.71</v>
      </c>
      <c r="E46" s="5">
        <v>45581.0</v>
      </c>
      <c r="F46" s="5">
        <v>45487.0</v>
      </c>
    </row>
    <row r="47">
      <c r="A47" s="2" t="s">
        <v>553</v>
      </c>
      <c r="B47" s="2" t="s">
        <v>43</v>
      </c>
      <c r="C47" s="4">
        <v>6.0</v>
      </c>
      <c r="D47" s="4">
        <v>39.33</v>
      </c>
      <c r="E47" s="5">
        <v>45385.0</v>
      </c>
      <c r="F47" s="5">
        <v>45592.0</v>
      </c>
    </row>
    <row r="48">
      <c r="A48" s="2" t="s">
        <v>554</v>
      </c>
      <c r="B48" s="2" t="s">
        <v>201</v>
      </c>
      <c r="C48" s="4">
        <v>7.0</v>
      </c>
      <c r="D48" s="4">
        <v>40.2</v>
      </c>
      <c r="E48" s="5">
        <v>45434.0</v>
      </c>
      <c r="F48" s="5">
        <v>45391.0</v>
      </c>
    </row>
    <row r="49">
      <c r="A49" s="2" t="s">
        <v>555</v>
      </c>
      <c r="B49" s="2" t="s">
        <v>165</v>
      </c>
      <c r="C49" s="4">
        <v>19.0</v>
      </c>
      <c r="D49" s="4">
        <v>36.2</v>
      </c>
      <c r="E49" s="5">
        <v>45478.0</v>
      </c>
      <c r="F49" s="5">
        <v>45650.0</v>
      </c>
    </row>
    <row r="50">
      <c r="A50" s="2" t="s">
        <v>556</v>
      </c>
      <c r="B50" s="2" t="s">
        <v>161</v>
      </c>
      <c r="C50" s="4">
        <v>1.0</v>
      </c>
      <c r="D50" s="4">
        <v>20.22</v>
      </c>
      <c r="E50" s="5">
        <v>45424.0</v>
      </c>
      <c r="F50" s="5">
        <v>45640.0</v>
      </c>
    </row>
    <row r="51">
      <c r="A51" s="2" t="s">
        <v>557</v>
      </c>
      <c r="B51" s="2" t="s">
        <v>145</v>
      </c>
      <c r="C51" s="4">
        <v>4.0</v>
      </c>
      <c r="D51" s="4">
        <v>29.3</v>
      </c>
      <c r="E51" s="5">
        <v>45451.0</v>
      </c>
      <c r="F51" s="5">
        <v>45418.0</v>
      </c>
    </row>
    <row r="52">
      <c r="A52" s="2" t="s">
        <v>558</v>
      </c>
      <c r="B52" s="2" t="s">
        <v>215</v>
      </c>
      <c r="C52" s="4">
        <v>19.0</v>
      </c>
      <c r="D52" s="4">
        <v>35.17</v>
      </c>
      <c r="E52" s="5">
        <v>45381.0</v>
      </c>
      <c r="F52" s="5">
        <v>45440.0</v>
      </c>
    </row>
    <row r="53">
      <c r="A53" s="2" t="s">
        <v>559</v>
      </c>
      <c r="B53" s="2" t="s">
        <v>76</v>
      </c>
      <c r="C53" s="4">
        <v>15.0</v>
      </c>
      <c r="D53" s="4">
        <v>13.88</v>
      </c>
      <c r="E53" s="5">
        <v>45420.0</v>
      </c>
      <c r="F53" s="5">
        <v>45360.0</v>
      </c>
    </row>
    <row r="54">
      <c r="A54" s="2" t="s">
        <v>560</v>
      </c>
      <c r="B54" s="2" t="s">
        <v>121</v>
      </c>
      <c r="C54" s="4">
        <v>18.0</v>
      </c>
      <c r="D54" s="4">
        <v>5.66</v>
      </c>
      <c r="E54" s="5">
        <v>45525.0</v>
      </c>
      <c r="F54" s="5">
        <v>45540.0</v>
      </c>
    </row>
    <row r="55">
      <c r="A55" s="2" t="s">
        <v>561</v>
      </c>
      <c r="B55" s="2" t="s">
        <v>10</v>
      </c>
      <c r="C55" s="4">
        <v>18.0</v>
      </c>
      <c r="D55" s="4">
        <v>24.9</v>
      </c>
      <c r="E55" s="5">
        <v>45600.0</v>
      </c>
      <c r="F55" s="5">
        <v>45551.0</v>
      </c>
    </row>
    <row r="56">
      <c r="A56" s="2" t="s">
        <v>562</v>
      </c>
      <c r="B56" s="2" t="s">
        <v>64</v>
      </c>
      <c r="C56" s="4">
        <v>2.0</v>
      </c>
      <c r="D56" s="4">
        <v>8.61</v>
      </c>
      <c r="E56" s="5">
        <v>45369.0</v>
      </c>
      <c r="F56" s="5">
        <v>45500.0</v>
      </c>
    </row>
    <row r="57">
      <c r="A57" s="2" t="s">
        <v>563</v>
      </c>
      <c r="B57" s="2" t="s">
        <v>113</v>
      </c>
      <c r="C57" s="4">
        <v>10.0</v>
      </c>
      <c r="D57" s="4">
        <v>15.87</v>
      </c>
      <c r="E57" s="5">
        <v>45579.0</v>
      </c>
      <c r="F57" s="5">
        <v>45487.0</v>
      </c>
    </row>
    <row r="58">
      <c r="A58" s="2" t="s">
        <v>564</v>
      </c>
      <c r="B58" s="2" t="s">
        <v>125</v>
      </c>
      <c r="C58" s="4">
        <v>6.0</v>
      </c>
      <c r="D58" s="4">
        <v>29.52</v>
      </c>
      <c r="E58" s="5">
        <v>45464.0</v>
      </c>
      <c r="F58" s="5">
        <v>45598.0</v>
      </c>
    </row>
    <row r="59">
      <c r="A59" s="2" t="s">
        <v>565</v>
      </c>
      <c r="B59" s="2" t="s">
        <v>189</v>
      </c>
      <c r="C59" s="4">
        <v>9.0</v>
      </c>
      <c r="D59" s="4">
        <v>28.23</v>
      </c>
      <c r="E59" s="5">
        <v>45311.0</v>
      </c>
      <c r="F59" s="5">
        <v>45524.0</v>
      </c>
    </row>
    <row r="60">
      <c r="A60" s="2" t="s">
        <v>566</v>
      </c>
      <c r="B60" s="2" t="s">
        <v>149</v>
      </c>
      <c r="C60" s="4">
        <v>19.0</v>
      </c>
      <c r="D60" s="4">
        <v>19.67</v>
      </c>
      <c r="E60" s="5">
        <v>45417.0</v>
      </c>
      <c r="F60" s="5">
        <v>45561.0</v>
      </c>
    </row>
    <row r="61">
      <c r="A61" s="2" t="s">
        <v>567</v>
      </c>
      <c r="B61" s="2" t="s">
        <v>99</v>
      </c>
      <c r="C61" s="4">
        <v>7.0</v>
      </c>
      <c r="D61" s="4">
        <v>24.87</v>
      </c>
      <c r="E61" s="5">
        <v>45341.0</v>
      </c>
      <c r="F61" s="5">
        <v>45479.0</v>
      </c>
    </row>
    <row r="62">
      <c r="A62" s="2" t="s">
        <v>568</v>
      </c>
      <c r="B62" s="2" t="s">
        <v>34</v>
      </c>
      <c r="C62" s="4">
        <v>10.0</v>
      </c>
      <c r="D62" s="4">
        <v>29.12</v>
      </c>
      <c r="E62" s="5">
        <v>45309.0</v>
      </c>
      <c r="F62" s="5">
        <v>45386.0</v>
      </c>
    </row>
    <row r="63">
      <c r="A63" s="2" t="s">
        <v>569</v>
      </c>
      <c r="B63" s="2" t="s">
        <v>58</v>
      </c>
      <c r="C63" s="4">
        <v>15.0</v>
      </c>
      <c r="D63" s="4">
        <v>10.82</v>
      </c>
      <c r="E63" s="5">
        <v>45630.0</v>
      </c>
      <c r="F63" s="5">
        <v>45406.0</v>
      </c>
    </row>
    <row r="64">
      <c r="A64" s="2" t="s">
        <v>570</v>
      </c>
      <c r="B64" s="2" t="s">
        <v>115</v>
      </c>
      <c r="C64" s="4">
        <v>2.0</v>
      </c>
      <c r="D64" s="4">
        <v>17.76</v>
      </c>
      <c r="E64" s="5">
        <v>45426.0</v>
      </c>
      <c r="F64" s="5">
        <v>45476.0</v>
      </c>
    </row>
    <row r="65">
      <c r="A65" s="2" t="s">
        <v>571</v>
      </c>
      <c r="B65" s="2" t="s">
        <v>78</v>
      </c>
      <c r="C65" s="4">
        <v>16.0</v>
      </c>
      <c r="D65" s="4">
        <v>45.0</v>
      </c>
      <c r="E65" s="5">
        <v>45639.0</v>
      </c>
      <c r="F65" s="5">
        <v>45567.0</v>
      </c>
    </row>
    <row r="66">
      <c r="A66" s="2" t="s">
        <v>572</v>
      </c>
      <c r="B66" s="2" t="s">
        <v>213</v>
      </c>
      <c r="C66" s="4">
        <v>20.0</v>
      </c>
      <c r="D66" s="4">
        <v>30.36</v>
      </c>
      <c r="E66" s="5">
        <v>45573.0</v>
      </c>
      <c r="F66" s="5">
        <v>45532.0</v>
      </c>
    </row>
    <row r="67">
      <c r="A67" s="2" t="s">
        <v>573</v>
      </c>
      <c r="B67" s="2" t="s">
        <v>175</v>
      </c>
      <c r="C67" s="4">
        <v>14.0</v>
      </c>
      <c r="D67" s="4">
        <v>49.56</v>
      </c>
      <c r="E67" s="5">
        <v>45447.0</v>
      </c>
      <c r="F67" s="5">
        <v>45307.0</v>
      </c>
    </row>
    <row r="68">
      <c r="A68" s="2" t="s">
        <v>574</v>
      </c>
      <c r="B68" s="2" t="s">
        <v>163</v>
      </c>
      <c r="C68" s="4">
        <v>1.0</v>
      </c>
      <c r="D68" s="4">
        <v>5.41</v>
      </c>
      <c r="E68" s="5">
        <v>45411.0</v>
      </c>
      <c r="F68" s="5">
        <v>45367.0</v>
      </c>
    </row>
    <row r="69">
      <c r="A69" s="2" t="s">
        <v>575</v>
      </c>
      <c r="B69" s="2" t="s">
        <v>117</v>
      </c>
      <c r="C69" s="4">
        <v>7.0</v>
      </c>
      <c r="D69" s="4">
        <v>5.09</v>
      </c>
      <c r="E69" s="5">
        <v>45539.0</v>
      </c>
      <c r="F69" s="5">
        <v>45314.0</v>
      </c>
    </row>
    <row r="70">
      <c r="A70" s="2" t="s">
        <v>576</v>
      </c>
      <c r="B70" s="2" t="s">
        <v>155</v>
      </c>
      <c r="C70" s="4">
        <v>4.0</v>
      </c>
      <c r="D70" s="4">
        <v>37.22</v>
      </c>
      <c r="E70" s="5">
        <v>45316.0</v>
      </c>
      <c r="F70" s="5">
        <v>45586.0</v>
      </c>
    </row>
    <row r="71">
      <c r="A71" s="2" t="s">
        <v>577</v>
      </c>
      <c r="B71" s="2" t="s">
        <v>5</v>
      </c>
      <c r="C71" s="4">
        <v>11.0</v>
      </c>
      <c r="D71" s="4">
        <v>21.0</v>
      </c>
      <c r="E71" s="5">
        <v>45431.0</v>
      </c>
      <c r="F71" s="5">
        <v>45653.0</v>
      </c>
    </row>
    <row r="72">
      <c r="A72" s="2" t="s">
        <v>578</v>
      </c>
      <c r="B72" s="2" t="s">
        <v>163</v>
      </c>
      <c r="C72" s="4">
        <v>5.0</v>
      </c>
      <c r="D72" s="4">
        <v>38.22</v>
      </c>
      <c r="E72" s="5">
        <v>45559.0</v>
      </c>
      <c r="F72" s="5">
        <v>45559.0</v>
      </c>
    </row>
    <row r="73">
      <c r="A73" s="2" t="s">
        <v>579</v>
      </c>
      <c r="B73" s="2" t="s">
        <v>167</v>
      </c>
      <c r="C73" s="4">
        <v>9.0</v>
      </c>
      <c r="D73" s="4">
        <v>23.89</v>
      </c>
      <c r="E73" s="5">
        <v>45566.0</v>
      </c>
      <c r="F73" s="5">
        <v>45325.0</v>
      </c>
    </row>
    <row r="74">
      <c r="A74" s="2" t="s">
        <v>580</v>
      </c>
      <c r="B74" s="2" t="s">
        <v>127</v>
      </c>
      <c r="C74" s="4">
        <v>17.0</v>
      </c>
      <c r="D74" s="4">
        <v>24.23</v>
      </c>
      <c r="E74" s="5">
        <v>45506.0</v>
      </c>
      <c r="F74" s="5">
        <v>45485.0</v>
      </c>
    </row>
    <row r="75">
      <c r="A75" s="2" t="s">
        <v>581</v>
      </c>
      <c r="B75" s="2" t="s">
        <v>91</v>
      </c>
      <c r="C75" s="4">
        <v>16.0</v>
      </c>
      <c r="D75" s="4">
        <v>42.25</v>
      </c>
      <c r="E75" s="5">
        <v>45316.0</v>
      </c>
      <c r="F75" s="5">
        <v>45415.0</v>
      </c>
    </row>
    <row r="76">
      <c r="A76" s="2" t="s">
        <v>582</v>
      </c>
      <c r="B76" s="2" t="s">
        <v>68</v>
      </c>
      <c r="C76" s="4">
        <v>2.0</v>
      </c>
      <c r="D76" s="4">
        <v>25.27</v>
      </c>
      <c r="E76" s="5">
        <v>45559.0</v>
      </c>
      <c r="F76" s="5">
        <v>45423.0</v>
      </c>
    </row>
    <row r="77">
      <c r="A77" s="2" t="s">
        <v>583</v>
      </c>
      <c r="B77" s="2" t="s">
        <v>58</v>
      </c>
      <c r="C77" s="4">
        <v>7.0</v>
      </c>
      <c r="D77" s="4">
        <v>16.62</v>
      </c>
      <c r="E77" s="5">
        <v>45460.0</v>
      </c>
      <c r="F77" s="5">
        <v>45326.0</v>
      </c>
    </row>
    <row r="78">
      <c r="A78" s="2" t="s">
        <v>584</v>
      </c>
      <c r="B78" s="2" t="s">
        <v>159</v>
      </c>
      <c r="C78" s="4">
        <v>16.0</v>
      </c>
      <c r="D78" s="4">
        <v>9.04</v>
      </c>
      <c r="E78" s="5">
        <v>45379.0</v>
      </c>
      <c r="F78" s="5">
        <v>45338.0</v>
      </c>
    </row>
    <row r="79">
      <c r="A79" s="2" t="s">
        <v>585</v>
      </c>
      <c r="B79" s="2" t="s">
        <v>153</v>
      </c>
      <c r="C79" s="4">
        <v>10.0</v>
      </c>
      <c r="D79" s="4">
        <v>8.22</v>
      </c>
      <c r="E79" s="5">
        <v>45647.0</v>
      </c>
      <c r="F79" s="5">
        <v>45324.0</v>
      </c>
    </row>
    <row r="80">
      <c r="A80" s="2" t="s">
        <v>586</v>
      </c>
      <c r="B80" s="2" t="s">
        <v>115</v>
      </c>
      <c r="C80" s="4">
        <v>3.0</v>
      </c>
      <c r="D80" s="4">
        <v>16.98</v>
      </c>
      <c r="E80" s="5">
        <v>45340.0</v>
      </c>
      <c r="F80" s="5">
        <v>45368.0</v>
      </c>
    </row>
    <row r="81">
      <c r="A81" s="2" t="s">
        <v>587</v>
      </c>
      <c r="B81" s="2" t="s">
        <v>149</v>
      </c>
      <c r="C81" s="4">
        <v>6.0</v>
      </c>
      <c r="D81" s="4">
        <v>44.08</v>
      </c>
      <c r="E81" s="5">
        <v>45518.0</v>
      </c>
      <c r="F81" s="5">
        <v>45420.0</v>
      </c>
    </row>
    <row r="82">
      <c r="A82" s="2" t="s">
        <v>588</v>
      </c>
      <c r="B82" s="2" t="s">
        <v>22</v>
      </c>
      <c r="C82" s="4">
        <v>12.0</v>
      </c>
      <c r="D82" s="4">
        <v>5.12</v>
      </c>
      <c r="E82" s="5">
        <v>45419.0</v>
      </c>
      <c r="F82" s="5">
        <v>45359.0</v>
      </c>
    </row>
    <row r="83">
      <c r="A83" s="2" t="s">
        <v>589</v>
      </c>
      <c r="B83" s="2" t="s">
        <v>213</v>
      </c>
      <c r="C83" s="4">
        <v>10.0</v>
      </c>
      <c r="D83" s="4">
        <v>45.84</v>
      </c>
      <c r="E83" s="5">
        <v>45448.0</v>
      </c>
      <c r="F83" s="5">
        <v>45398.0</v>
      </c>
    </row>
    <row r="84">
      <c r="A84" s="2" t="s">
        <v>590</v>
      </c>
      <c r="B84" s="2" t="s">
        <v>163</v>
      </c>
      <c r="C84" s="4">
        <v>16.0</v>
      </c>
      <c r="D84" s="4">
        <v>26.14</v>
      </c>
      <c r="E84" s="5">
        <v>45308.0</v>
      </c>
      <c r="F84" s="5">
        <v>45377.0</v>
      </c>
    </row>
    <row r="85">
      <c r="A85" s="2" t="s">
        <v>591</v>
      </c>
      <c r="B85" s="2" t="s">
        <v>81</v>
      </c>
      <c r="C85" s="4">
        <v>11.0</v>
      </c>
      <c r="D85" s="4">
        <v>29.37</v>
      </c>
      <c r="E85" s="5">
        <v>45641.0</v>
      </c>
      <c r="F85" s="5">
        <v>45553.0</v>
      </c>
    </row>
    <row r="86">
      <c r="A86" s="2" t="s">
        <v>592</v>
      </c>
      <c r="B86" s="2" t="s">
        <v>201</v>
      </c>
      <c r="C86" s="4">
        <v>7.0</v>
      </c>
      <c r="D86" s="4">
        <v>6.25</v>
      </c>
      <c r="E86" s="5">
        <v>45441.0</v>
      </c>
      <c r="F86" s="5">
        <v>45418.0</v>
      </c>
    </row>
    <row r="87">
      <c r="A87" s="2" t="s">
        <v>593</v>
      </c>
      <c r="B87" s="2" t="s">
        <v>91</v>
      </c>
      <c r="C87" s="4">
        <v>18.0</v>
      </c>
      <c r="D87" s="4">
        <v>32.52</v>
      </c>
      <c r="E87" s="5">
        <v>45500.0</v>
      </c>
      <c r="F87" s="5">
        <v>45375.0</v>
      </c>
    </row>
    <row r="88">
      <c r="A88" s="2" t="s">
        <v>594</v>
      </c>
      <c r="B88" s="2" t="s">
        <v>93</v>
      </c>
      <c r="C88" s="4">
        <v>16.0</v>
      </c>
      <c r="D88" s="4">
        <v>12.54</v>
      </c>
      <c r="E88" s="5">
        <v>45305.0</v>
      </c>
      <c r="F88" s="5">
        <v>45366.0</v>
      </c>
    </row>
    <row r="89">
      <c r="A89" s="2" t="s">
        <v>595</v>
      </c>
      <c r="B89" s="2" t="s">
        <v>155</v>
      </c>
      <c r="C89" s="4">
        <v>19.0</v>
      </c>
      <c r="D89" s="4">
        <v>43.98</v>
      </c>
      <c r="E89" s="5">
        <v>45449.0</v>
      </c>
      <c r="F89" s="5">
        <v>45573.0</v>
      </c>
    </row>
    <row r="90">
      <c r="A90" s="2" t="s">
        <v>596</v>
      </c>
      <c r="B90" s="2" t="s">
        <v>211</v>
      </c>
      <c r="C90" s="4">
        <v>4.0</v>
      </c>
      <c r="D90" s="4">
        <v>46.54</v>
      </c>
      <c r="E90" s="5">
        <v>45353.0</v>
      </c>
      <c r="F90" s="5">
        <v>45542.0</v>
      </c>
    </row>
    <row r="91">
      <c r="A91" s="2" t="s">
        <v>597</v>
      </c>
      <c r="B91" s="2" t="s">
        <v>66</v>
      </c>
      <c r="C91" s="4">
        <v>6.0</v>
      </c>
      <c r="D91" s="4">
        <v>29.97</v>
      </c>
      <c r="E91" s="5">
        <v>45535.0</v>
      </c>
      <c r="F91" s="5">
        <v>45466.0</v>
      </c>
    </row>
    <row r="92">
      <c r="A92" s="2" t="s">
        <v>598</v>
      </c>
      <c r="B92" s="2" t="s">
        <v>22</v>
      </c>
      <c r="C92" s="4">
        <v>13.0</v>
      </c>
      <c r="D92" s="4">
        <v>25.73</v>
      </c>
      <c r="E92" s="5">
        <v>45445.0</v>
      </c>
      <c r="F92" s="5">
        <v>45632.0</v>
      </c>
    </row>
    <row r="93">
      <c r="A93" s="2" t="s">
        <v>599</v>
      </c>
      <c r="B93" s="2" t="s">
        <v>179</v>
      </c>
      <c r="C93" s="4">
        <v>1.0</v>
      </c>
      <c r="D93" s="4">
        <v>8.61</v>
      </c>
      <c r="E93" s="5">
        <v>45460.0</v>
      </c>
      <c r="F93" s="5">
        <v>45349.0</v>
      </c>
    </row>
    <row r="94">
      <c r="A94" s="2" t="s">
        <v>600</v>
      </c>
      <c r="B94" s="2" t="s">
        <v>129</v>
      </c>
      <c r="C94" s="4">
        <v>7.0</v>
      </c>
      <c r="D94" s="4">
        <v>14.06</v>
      </c>
      <c r="E94" s="5">
        <v>45375.0</v>
      </c>
      <c r="F94" s="5">
        <v>45599.0</v>
      </c>
    </row>
    <row r="95">
      <c r="A95" s="2" t="s">
        <v>601</v>
      </c>
      <c r="B95" s="2" t="s">
        <v>109</v>
      </c>
      <c r="C95" s="4">
        <v>6.0</v>
      </c>
      <c r="D95" s="4">
        <v>34.05</v>
      </c>
      <c r="E95" s="5">
        <v>45641.0</v>
      </c>
      <c r="F95" s="5">
        <v>45342.0</v>
      </c>
    </row>
    <row r="96">
      <c r="A96" s="2" t="s">
        <v>602</v>
      </c>
      <c r="B96" s="2" t="s">
        <v>143</v>
      </c>
      <c r="C96" s="4">
        <v>7.0</v>
      </c>
      <c r="D96" s="4">
        <v>15.28</v>
      </c>
      <c r="E96" s="5">
        <v>45459.0</v>
      </c>
      <c r="F96" s="5">
        <v>45545.0</v>
      </c>
    </row>
    <row r="97">
      <c r="A97" s="2" t="s">
        <v>603</v>
      </c>
      <c r="B97" s="2" t="s">
        <v>123</v>
      </c>
      <c r="C97" s="4">
        <v>14.0</v>
      </c>
      <c r="D97" s="4">
        <v>45.23</v>
      </c>
      <c r="E97" s="5">
        <v>45388.0</v>
      </c>
      <c r="F97" s="5">
        <v>45506.0</v>
      </c>
    </row>
    <row r="98">
      <c r="A98" s="2" t="s">
        <v>604</v>
      </c>
      <c r="B98" s="2" t="s">
        <v>187</v>
      </c>
      <c r="C98" s="4">
        <v>6.0</v>
      </c>
      <c r="D98" s="4">
        <v>20.97</v>
      </c>
      <c r="E98" s="5">
        <v>45546.0</v>
      </c>
      <c r="F98" s="5">
        <v>45361.0</v>
      </c>
    </row>
    <row r="99">
      <c r="A99" s="2" t="s">
        <v>605</v>
      </c>
      <c r="B99" s="2" t="s">
        <v>173</v>
      </c>
      <c r="C99" s="4">
        <v>14.0</v>
      </c>
      <c r="D99" s="4">
        <v>19.85</v>
      </c>
      <c r="E99" s="5">
        <v>45640.0</v>
      </c>
      <c r="F99" s="5">
        <v>45369.0</v>
      </c>
    </row>
    <row r="100">
      <c r="A100" s="2" t="s">
        <v>606</v>
      </c>
      <c r="B100" s="2" t="s">
        <v>181</v>
      </c>
      <c r="C100" s="4">
        <v>5.0</v>
      </c>
      <c r="D100" s="4">
        <v>14.66</v>
      </c>
      <c r="E100" s="5">
        <v>45480.0</v>
      </c>
      <c r="F100" s="5">
        <v>45596.0</v>
      </c>
    </row>
    <row r="101">
      <c r="A101" s="2" t="s">
        <v>607</v>
      </c>
      <c r="B101" s="2" t="s">
        <v>107</v>
      </c>
      <c r="C101" s="4">
        <v>19.0</v>
      </c>
      <c r="D101" s="4">
        <v>33.94</v>
      </c>
      <c r="E101" s="5">
        <v>45565.0</v>
      </c>
      <c r="F101" s="5">
        <v>45604.0</v>
      </c>
    </row>
  </sheetData>
  <drawing r:id="rId1"/>
</worksheet>
</file>